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Season Info" sheetId="2" state="visible" r:id="rId2"/>
    <sheet xmlns:r="http://schemas.openxmlformats.org/officeDocument/2006/relationships" name="Audit Checklist" sheetId="3" state="visible" r:id="rId3"/>
    <sheet xmlns:r="http://schemas.openxmlformats.org/officeDocument/2006/relationships" name="Worker Departures" sheetId="4" state="visible" r:id="rId4"/>
    <sheet xmlns:r="http://schemas.openxmlformats.org/officeDocument/2006/relationships" name="Resources" sheetId="5" state="visible" r:id="rId5"/>
  </sheets>
  <definedNames>
    <definedName name="_xlnm.Print_Titles" localSheetId="2">'Audit Checklist'!$8:$8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253645"/>
      <sz val="18"/>
    </font>
    <font>
      <name val="Arial"/>
      <charset val="1"/>
      <family val="0"/>
      <color rgb="FF5E5446"/>
      <sz val="11"/>
    </font>
    <font>
      <name val="Arial"/>
      <charset val="1"/>
      <family val="0"/>
      <b val="1"/>
      <color rgb="FFB8553A"/>
      <sz val="13"/>
    </font>
    <font>
      <name val="Arial"/>
      <charset val="1"/>
      <family val="0"/>
      <sz val="11"/>
    </font>
    <font>
      <name val="Arial"/>
      <charset val="1"/>
      <family val="0"/>
      <b val="1"/>
      <sz val="11"/>
    </font>
    <font>
      <name val="Arial"/>
      <charset val="1"/>
      <family val="0"/>
      <i val="1"/>
      <color rgb="FF5E5446"/>
      <sz val="10"/>
    </font>
    <font>
      <name val="Arial"/>
      <charset val="1"/>
      <family val="0"/>
      <b val="1"/>
      <color rgb="FF253645"/>
      <sz val="16"/>
    </font>
    <font>
      <name val="Arial"/>
      <charset val="1"/>
      <family val="0"/>
      <i val="1"/>
      <color rgb="FF888888"/>
      <sz val="11"/>
    </font>
    <font>
      <name val="Arial"/>
      <charset val="1"/>
      <family val="0"/>
      <i val="1"/>
      <color rgb="FF5E5446"/>
      <sz val="9"/>
    </font>
    <font>
      <name val="Arial"/>
      <charset val="1"/>
      <family val="0"/>
      <b val="1"/>
      <color rgb="FF6B7117"/>
      <sz val="12"/>
    </font>
    <font>
      <name val="Arial"/>
      <charset val="1"/>
      <family val="0"/>
      <b val="1"/>
      <color rgb="FFFFFFFF"/>
      <sz val="11"/>
    </font>
    <font>
      <name val="Arial"/>
      <charset val="1"/>
      <family val="0"/>
      <i val="1"/>
      <color rgb="FF888888"/>
      <sz val="10"/>
    </font>
    <font>
      <name val="Arial"/>
      <charset val="1"/>
      <family val="0"/>
      <b val="1"/>
      <color rgb="FF253645"/>
      <sz val="11"/>
    </font>
    <font>
      <name val="Arial"/>
      <charset val="1"/>
      <family val="0"/>
      <sz val="10"/>
    </font>
    <font>
      <name val="Arial"/>
      <charset val="1"/>
      <family val="0"/>
      <b val="1"/>
      <color rgb="FFB8553A"/>
      <sz val="10"/>
    </font>
    <font/>
    <font>
      <name val="Arial"/>
      <i val="1"/>
      <color rgb="FF9A4430"/>
      <sz val="10"/>
      <u val="single"/>
    </font>
    <font>
      <name val="Arial"/>
      <b val="1"/>
      <color rgb="FF253645"/>
      <sz val="10"/>
      <u val="single"/>
    </font>
    <font>
      <name val="Arial"/>
      <color rgb="FF253645"/>
      <sz val="10"/>
      <u val="single"/>
    </font>
    <font>
      <name val="Arial"/>
      <color rgb="FF9A4430"/>
      <sz val="10"/>
      <u val="single"/>
    </font>
  </fonts>
  <fills count="5">
    <fill>
      <patternFill/>
    </fill>
    <fill>
      <patternFill patternType="gray125"/>
    </fill>
    <fill>
      <patternFill patternType="solid">
        <fgColor rgb="FFFFF7D6"/>
        <bgColor rgb="FFEFF1CC"/>
      </patternFill>
    </fill>
    <fill>
      <patternFill patternType="solid">
        <fgColor rgb="FF253645"/>
        <bgColor rgb="FF003366"/>
      </patternFill>
    </fill>
    <fill>
      <patternFill patternType="solid">
        <fgColor rgb="FFEFF1CC"/>
        <bgColor rgb="FFE3EDC6"/>
      </patternFill>
    </fill>
  </fills>
  <borders count="3">
    <border>
      <left/>
      <right/>
      <top/>
      <bottom/>
      <diagonal/>
    </border>
    <border>
      <left style="thin">
        <color rgb="FFE6E1D6"/>
      </left>
      <right style="thin">
        <color rgb="FFE6E1D6"/>
      </right>
      <top style="thin">
        <color rgb="FFE6E1D6"/>
      </top>
      <bottom style="thin">
        <color rgb="FFE6E1D6"/>
      </botto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bottom"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0" fontId="11" fillId="2" borderId="1" applyAlignment="1" pivotButton="0" quotePrefix="0" xfId="0">
      <alignment horizontal="general" vertical="bottom"/>
    </xf>
    <xf numFmtId="0" fontId="12" fillId="0" borderId="0" applyAlignment="1" pivotButton="0" quotePrefix="0" xfId="0">
      <alignment horizontal="general" vertical="bottom"/>
    </xf>
    <xf numFmtId="49" fontId="11" fillId="2" borderId="1" applyAlignment="1" pivotButton="0" quotePrefix="0" xfId="0">
      <alignment horizontal="general" vertical="bottom"/>
    </xf>
    <xf numFmtId="164" fontId="7" fillId="2" borderId="1" applyAlignment="1" pivotButton="0" quotePrefix="0" xfId="0">
      <alignment horizontal="general" vertical="bottom"/>
    </xf>
    <xf numFmtId="164" fontId="7" fillId="0" borderId="1" applyAlignment="1" pivotButton="0" quotePrefix="0" xfId="0">
      <alignment horizontal="general" vertical="bottom"/>
    </xf>
    <xf numFmtId="1" fontId="7" fillId="0" borderId="1" applyAlignment="1" pivotButton="0" quotePrefix="0" xfId="0">
      <alignment horizontal="general" vertical="bottom"/>
    </xf>
    <xf numFmtId="0" fontId="9" fillId="0" borderId="0" applyAlignment="1" pivotButton="0" quotePrefix="0" xfId="0">
      <alignment horizontal="general" vertical="bottom"/>
    </xf>
    <xf numFmtId="0" fontId="13" fillId="0" borderId="1" applyAlignment="1" pivotButton="0" quotePrefix="0" xfId="0">
      <alignment horizontal="center" vertical="bottom"/>
    </xf>
    <xf numFmtId="9" fontId="13" fillId="0" borderId="1" applyAlignment="1" pivotButton="0" quotePrefix="0" xfId="0">
      <alignment horizontal="center" vertical="bottom"/>
    </xf>
    <xf numFmtId="0" fontId="14" fillId="3" borderId="1" applyAlignment="1" pivotButton="0" quotePrefix="0" xfId="0">
      <alignment horizontal="general" vertical="center" wrapText="1"/>
    </xf>
    <xf numFmtId="0" fontId="15" fillId="0" borderId="1" applyAlignment="1" pivotButton="0" quotePrefix="0" xfId="0">
      <alignment horizontal="general" vertical="top" wrapText="1"/>
    </xf>
    <xf numFmtId="164" fontId="15" fillId="0" borderId="1" applyAlignment="1" pivotButton="0" quotePrefix="0" xfId="0">
      <alignment horizontal="general" vertical="top" wrapText="1"/>
    </xf>
    <xf numFmtId="0" fontId="0" fillId="4" borderId="1" applyAlignment="1" pivotButton="0" quotePrefix="0" xfId="0">
      <alignment horizontal="general" vertical="bottom"/>
    </xf>
    <xf numFmtId="0" fontId="16" fillId="4" borderId="1" applyAlignment="1" pivotButton="0" quotePrefix="0" xfId="0">
      <alignment horizontal="general" vertical="bottom"/>
    </xf>
    <xf numFmtId="0" fontId="17" fillId="0" borderId="1" applyAlignment="1" pivotButton="0" quotePrefix="0" xfId="0">
      <alignment horizontal="general" vertical="top" wrapText="1"/>
    </xf>
    <xf numFmtId="0" fontId="17" fillId="2" borderId="1" applyAlignment="1" pivotButton="0" quotePrefix="0" xfId="0">
      <alignment horizontal="general" vertical="top" wrapText="1"/>
    </xf>
    <xf numFmtId="164" fontId="17" fillId="2" borderId="1" applyAlignment="1" pivotButton="0" quotePrefix="0" xfId="0">
      <alignment horizontal="general" vertical="top" wrapText="1"/>
    </xf>
    <xf numFmtId="0" fontId="18" fillId="0" borderId="0" applyAlignment="1" pivotButton="0" quotePrefix="0" xfId="0">
      <alignment horizontal="general" vertical="bottom"/>
    </xf>
    <xf numFmtId="0" fontId="9" fillId="0" borderId="0" applyAlignment="1" pivotButton="0" quotePrefix="0" xfId="0">
      <alignment horizontal="general" vertical="top" wrapText="1"/>
    </xf>
    <xf numFmtId="0" fontId="12" fillId="0" borderId="0" applyAlignment="1" pivotButton="0" quotePrefix="0" xfId="0">
      <alignment horizontal="general" vertical="bottom"/>
    </xf>
    <xf numFmtId="0" fontId="15" fillId="2" borderId="1" applyAlignment="1" pivotButton="0" quotePrefix="0" xfId="0">
      <alignment horizontal="general" vertical="bottom"/>
    </xf>
    <xf numFmtId="164" fontId="15" fillId="2" borderId="1" applyAlignment="1" pivotButton="0" quotePrefix="0" xfId="0">
      <alignment horizontal="general" vertical="bottom"/>
    </xf>
    <xf numFmtId="164" fontId="15" fillId="0" borderId="1" applyAlignment="1" pivotButton="0" quotePrefix="0" xfId="0">
      <alignment horizontal="general" vertical="bottom"/>
    </xf>
    <xf numFmtId="0" fontId="15" fillId="0" borderId="1" applyAlignment="1" pivotButton="0" quotePrefix="0" xfId="0">
      <alignment horizontal="general" vertical="bottom"/>
    </xf>
    <xf numFmtId="0" fontId="17" fillId="2" borderId="1" applyAlignment="1" pivotButton="0" quotePrefix="0" xfId="0">
      <alignment horizontal="general" vertical="bottom"/>
    </xf>
    <xf numFmtId="164" fontId="17" fillId="2" borderId="1" applyAlignment="1" pivotButton="0" quotePrefix="0" xfId="0">
      <alignment horizontal="general" vertical="bottom"/>
    </xf>
    <xf numFmtId="164" fontId="17" fillId="0" borderId="1" applyAlignment="1" pivotButton="0" quotePrefix="0" xfId="0">
      <alignment horizontal="general" vertical="bottom"/>
    </xf>
    <xf numFmtId="0" fontId="17"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0" fontId="11" fillId="2" borderId="1" applyAlignment="1" pivotButton="0" quotePrefix="0" xfId="0">
      <alignment horizontal="general" vertical="bottom"/>
    </xf>
    <xf numFmtId="0" fontId="12" fillId="0" borderId="0" applyAlignment="1" pivotButton="0" quotePrefix="0" xfId="0">
      <alignment horizontal="general" vertical="bottom"/>
    </xf>
    <xf numFmtId="49" fontId="11" fillId="2" borderId="1" applyAlignment="1" pivotButton="0" quotePrefix="0" xfId="0">
      <alignment horizontal="general" vertical="bottom"/>
    </xf>
    <xf numFmtId="164" fontId="7" fillId="2" borderId="1" applyAlignment="1" pivotButton="0" quotePrefix="0" xfId="0">
      <alignment horizontal="general" vertical="bottom"/>
    </xf>
    <xf numFmtId="164" fontId="7" fillId="0" borderId="1" applyAlignment="1" pivotButton="0" quotePrefix="0" xfId="0">
      <alignment horizontal="general" vertical="bottom"/>
    </xf>
    <xf numFmtId="1" fontId="7" fillId="0" borderId="1" applyAlignment="1" pivotButton="0" quotePrefix="0" xfId="0">
      <alignment horizontal="general" vertical="bottom"/>
    </xf>
    <xf numFmtId="0" fontId="9" fillId="0" borderId="0" applyAlignment="1" pivotButton="0" quotePrefix="0" xfId="0">
      <alignment horizontal="general" vertical="bottom"/>
    </xf>
    <xf numFmtId="0" fontId="13" fillId="0" borderId="1" applyAlignment="1" pivotButton="0" quotePrefix="0" xfId="0">
      <alignment horizontal="center" vertical="bottom"/>
    </xf>
    <xf numFmtId="9" fontId="13" fillId="0" borderId="1" applyAlignment="1" pivotButton="0" quotePrefix="0" xfId="0">
      <alignment horizontal="center" vertical="bottom"/>
    </xf>
    <xf numFmtId="0" fontId="14" fillId="3" borderId="1" applyAlignment="1" pivotButton="0" quotePrefix="0" xfId="0">
      <alignment horizontal="general" vertical="center" wrapText="1"/>
    </xf>
    <xf numFmtId="0" fontId="14" fillId="3" borderId="1" applyAlignment="1" pivotButton="0" quotePrefix="0" xfId="0">
      <alignment horizontal="general" vertical="center" wrapText="1"/>
    </xf>
    <xf numFmtId="0" fontId="15" fillId="0" borderId="1" applyAlignment="1" pivotButton="0" quotePrefix="0" xfId="0">
      <alignment horizontal="general" vertical="top" wrapText="1"/>
    </xf>
    <xf numFmtId="164" fontId="15" fillId="0" borderId="1" applyAlignment="1" pivotButton="0" quotePrefix="0" xfId="0">
      <alignment horizontal="general" vertical="top" wrapText="1"/>
    </xf>
    <xf numFmtId="0" fontId="20" fillId="0" borderId="1" applyAlignment="1" pivotButton="0" quotePrefix="0" xfId="0">
      <alignment horizontal="general" vertical="top" wrapText="1"/>
    </xf>
    <xf numFmtId="0" fontId="0" fillId="4" borderId="1" applyAlignment="1" pivotButton="0" quotePrefix="0" xfId="0">
      <alignment horizontal="general" vertical="bottom"/>
    </xf>
    <xf numFmtId="0" fontId="16" fillId="4" borderId="1" applyAlignment="1" pivotButton="0" quotePrefix="0" xfId="0">
      <alignment horizontal="general" vertical="bottom"/>
    </xf>
    <xf numFmtId="0" fontId="21" fillId="4" borderId="1" applyAlignment="1" pivotButton="0" quotePrefix="0" xfId="0">
      <alignment horizontal="general" vertical="bottom"/>
    </xf>
    <xf numFmtId="0" fontId="17"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17" fillId="2" borderId="1" applyAlignment="1" pivotButton="0" quotePrefix="0" xfId="0">
      <alignment horizontal="general" vertical="top" wrapText="1"/>
    </xf>
    <xf numFmtId="164" fontId="17" fillId="2" borderId="1" applyAlignment="1" pivotButton="0" quotePrefix="0" xfId="0">
      <alignment horizontal="general" vertical="top" wrapText="1"/>
    </xf>
    <xf numFmtId="0" fontId="23" fillId="0" borderId="1" applyAlignment="1" pivotButton="0" quotePrefix="0" xfId="0">
      <alignment horizontal="general" vertical="top" wrapText="1"/>
    </xf>
    <xf numFmtId="0" fontId="19" fillId="0" borderId="2" pivotButton="0" quotePrefix="0" xfId="0"/>
    <xf numFmtId="0" fontId="18" fillId="0" borderId="2" applyAlignment="1" pivotButton="0" quotePrefix="0" xfId="0">
      <alignment horizontal="general" vertical="bottom"/>
    </xf>
    <xf numFmtId="0" fontId="15" fillId="2" borderId="1" applyAlignment="1" pivotButton="0" quotePrefix="0" xfId="0">
      <alignment horizontal="general" vertical="bottom"/>
    </xf>
    <xf numFmtId="164" fontId="15" fillId="2" borderId="1" applyAlignment="1" pivotButton="0" quotePrefix="0" xfId="0">
      <alignment horizontal="general" vertical="bottom"/>
    </xf>
    <xf numFmtId="164" fontId="15" fillId="0" borderId="1" applyAlignment="1" pivotButton="0" quotePrefix="0" xfId="0">
      <alignment horizontal="general" vertical="bottom"/>
    </xf>
    <xf numFmtId="0" fontId="15" fillId="0" borderId="1" applyAlignment="1" pivotButton="0" quotePrefix="0" xfId="0">
      <alignment horizontal="general" vertical="bottom"/>
    </xf>
    <xf numFmtId="0" fontId="17" fillId="2" borderId="1" applyAlignment="1" pivotButton="0" quotePrefix="0" xfId="0">
      <alignment horizontal="general" vertical="bottom"/>
    </xf>
    <xf numFmtId="164" fontId="17" fillId="2" borderId="1" applyAlignment="1" pivotButton="0" quotePrefix="0" xfId="0">
      <alignment horizontal="general" vertical="bottom"/>
    </xf>
    <xf numFmtId="164" fontId="17" fillId="0" borderId="1" applyAlignment="1" pivotButton="0" quotePrefix="0" xfId="0">
      <alignment horizontal="general" vertical="bottom"/>
    </xf>
    <xf numFmtId="0" fontId="17" fillId="0" borderId="1" applyAlignment="1" pivotButton="0" quotePrefix="0" xfId="0">
      <alignment horizontal="general" vertical="bottom"/>
    </xf>
    <xf numFmtId="0" fontId="10" fillId="0" borderId="0" pivotButton="0" quotePrefix="0" xfId="0"/>
    <xf numFmtId="0" fontId="9" fillId="0" borderId="0" pivotButton="0" quotePrefix="0" xfId="0"/>
    <xf numFmtId="0" fontId="0" fillId="0" borderId="0" applyAlignment="1" pivotButton="0" quotePrefix="0" xfId="0">
      <alignment vertical="top" wrapText="1"/>
    </xf>
    <xf numFmtId="0" fontId="23" fillId="0" borderId="0" applyAlignment="1" pivotButton="0" quotePrefix="0" xfId="0">
      <alignment vertical="top" wrapText="1"/>
    </xf>
    <xf numFmtId="0" fontId="22" fillId="0" borderId="0" applyAlignment="1" pivotButton="0" quotePrefix="0" xfId="0">
      <alignment vertical="top" wrapText="1"/>
    </xf>
    <xf numFmtId="0" fontId="18" fillId="0" borderId="0" pivotButton="0" quotePrefix="0" xfId="0"/>
    <xf numFmtId="0" fontId="16" fillId="0" borderId="2" applyAlignment="1" pivotButton="0" quotePrefix="0" xfId="0">
      <alignment horizontal="general" vertical="bottom"/>
    </xf>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bgColor rgb="FFE3EDC6"/>
        </patternFill>
      </fill>
    </dxf>
    <dxf>
      <fill>
        <patternFill>
          <bgColor rgb="FFFBEBC8"/>
        </patternFill>
      </fill>
    </dxf>
    <dxf>
      <fill>
        <patternFill>
          <bgColor rgb="FFF6DC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B7117"/>
      <rgbColor rgb="FF800080"/>
      <rgbColor rgb="FF008080"/>
      <rgbColor rgb="FFC0C0C0"/>
      <rgbColor rgb="FF888888"/>
      <rgbColor rgb="FF9999FF"/>
      <rgbColor rgb="FFB8553A"/>
      <rgbColor rgb="FFFFF7D6"/>
      <rgbColor rgb="FFFBEBC8"/>
      <rgbColor rgb="FF660066"/>
      <rgbColor rgb="FFFF8080"/>
      <rgbColor rgb="FF0066CC"/>
      <rgbColor rgb="FFE6E1D6"/>
      <rgbColor rgb="FF000080"/>
      <rgbColor rgb="FFFF00FF"/>
      <rgbColor rgb="FFFFFF00"/>
      <rgbColor rgb="FF00FFFF"/>
      <rgbColor rgb="FF800080"/>
      <rgbColor rgb="FF800000"/>
      <rgbColor rgb="FF008080"/>
      <rgbColor rgb="FF0000FF"/>
      <rgbColor rgb="FF00CCFF"/>
      <rgbColor rgb="FFCCFFFF"/>
      <rgbColor rgb="FFE3EDC6"/>
      <rgbColor rgb="FFEFF1CC"/>
      <rgbColor rgb="FF99CCFF"/>
      <rgbColor rgb="FFFF99CC"/>
      <rgbColor rgb="FFCC99FF"/>
      <rgbColor rgb="FFF6DCD3"/>
      <rgbColor rgb="FF3366FF"/>
      <rgbColor rgb="FF33CCCC"/>
      <rgbColor rgb="FF99CC00"/>
      <rgbColor rgb="FFFFCC00"/>
      <rgbColor rgb="FFFF9900"/>
      <rgbColor rgb="FFFF6600"/>
      <rgbColor rgb="FF5E5446"/>
      <rgbColor rgb="FF969696"/>
      <rgbColor rgb="FF003366"/>
      <rgbColor rgb="FF339966"/>
      <rgbColor rgb="FF003300"/>
      <rgbColor rgb="FF333300"/>
      <rgbColor rgb="FF993300"/>
      <rgbColor rgb="FF993366"/>
      <rgbColor rgb="FF333399"/>
      <rgbColor rgb="FF25364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battenkillag.com/contact" TargetMode="External" Id="rId1"/></Relationships>
</file>

<file path=xl/worksheets/_rels/sheet3.xml.rels><Relationships xmlns="http://schemas.openxmlformats.org/package/2006/relationships"><Relationship Type="http://schemas.openxmlformats.org/officeDocument/2006/relationships/hyperlink" Target="https://www.battenkillag.com/resources/housing-requirements" TargetMode="External" Id="rId1"/><Relationship Type="http://schemas.openxmlformats.org/officeDocument/2006/relationships/hyperlink" Target="https://www.battenkillag.com/resources/hiring-us-workers" TargetMode="External" Id="rId2"/><Relationship Type="http://schemas.openxmlformats.org/officeDocument/2006/relationships/hyperlink" Target="https://www.ecfr.gov/current/title-20/section-655.167" TargetMode="External" Id="rId3"/><Relationship Type="http://schemas.openxmlformats.org/officeDocument/2006/relationships/hyperlink" Target="https://www.battenkillag.com/resources/h-2a-timeline" TargetMode="External" Id="rId4"/><Relationship Type="http://schemas.openxmlformats.org/officeDocument/2006/relationships/hyperlink" Target="https://www.ecfr.gov/current/title-20/section-655.121" TargetMode="External" Id="rId5"/><Relationship Type="http://schemas.openxmlformats.org/officeDocument/2006/relationships/hyperlink" Target="https://www.battenkillag.com/resources/hiring-us-workers" TargetMode="External" Id="rId6"/><Relationship Type="http://schemas.openxmlformats.org/officeDocument/2006/relationships/hyperlink" Target="https://www.ecfr.gov/current/title-20/section-655.153" TargetMode="External" Id="rId7"/><Relationship Type="http://schemas.openxmlformats.org/officeDocument/2006/relationships/hyperlink" Target="https://www.battenkillag.com/resources/hiring-us-workers" TargetMode="External" Id="rId8"/><Relationship Type="http://schemas.openxmlformats.org/officeDocument/2006/relationships/hyperlink" Target="https://www.ecfr.gov/current/title-20/section-655.156" TargetMode="External" Id="rId9"/><Relationship Type="http://schemas.openxmlformats.org/officeDocument/2006/relationships/hyperlink" Target="https://www.battenkillag.com/resources/hiring-us-workers" TargetMode="External" Id="rId10"/><Relationship Type="http://schemas.openxmlformats.org/officeDocument/2006/relationships/hyperlink" Target="https://www.ecfr.gov/current/title-20/section-655.135" TargetMode="External" Id="rId11"/><Relationship Type="http://schemas.openxmlformats.org/officeDocument/2006/relationships/hyperlink" Target="https://www.battenkillag.com/resources/hiring-us-workers" TargetMode="External" Id="rId12"/><Relationship Type="http://schemas.openxmlformats.org/officeDocument/2006/relationships/hyperlink" Target="https://www.ecfr.gov/current/title-20/section-655.135" TargetMode="External" Id="rId13"/><Relationship Type="http://schemas.openxmlformats.org/officeDocument/2006/relationships/hyperlink" Target="https://www.battenkillag.com/resources/hiring-us-workers" TargetMode="External" Id="rId14"/><Relationship Type="http://schemas.openxmlformats.org/officeDocument/2006/relationships/hyperlink" Target="https://www.battenkillag.com/resources/housing-requirements" TargetMode="External" Id="rId15"/><Relationship Type="http://schemas.openxmlformats.org/officeDocument/2006/relationships/hyperlink" Target="https://www.ecfr.gov/current/title-20/section-655.122#p-655.122(d)" TargetMode="External" Id="rId16"/><Relationship Type="http://schemas.openxmlformats.org/officeDocument/2006/relationships/hyperlink" Target="https://www.battenkillag.com/resources/housing-requirements" TargetMode="External" Id="rId17"/><Relationship Type="http://schemas.openxmlformats.org/officeDocument/2006/relationships/hyperlink" Target="https://www.ecfr.gov/current/title-29/section-1910.142" TargetMode="External" Id="rId18"/><Relationship Type="http://schemas.openxmlformats.org/officeDocument/2006/relationships/hyperlink" Target="https://www.battenkillag.com/resources/housing-requirements" TargetMode="External" Id="rId19"/><Relationship Type="http://schemas.openxmlformats.org/officeDocument/2006/relationships/hyperlink" Target="https://www.ecfr.gov/current/title-20/section-655.122#p-655.122(g)" TargetMode="External" Id="rId20"/><Relationship Type="http://schemas.openxmlformats.org/officeDocument/2006/relationships/hyperlink" Target="https://www.battenkillag.com/resources/housing-requirements" TargetMode="External" Id="rId21"/><Relationship Type="http://schemas.openxmlformats.org/officeDocument/2006/relationships/hyperlink" Target="https://www.ecfr.gov/current/title-20/section-655.122#p-655.122(e)" TargetMode="External" Id="rId22"/><Relationship Type="http://schemas.openxmlformats.org/officeDocument/2006/relationships/hyperlink" Target="https://www.battenkillag.com/resources/housing-requirements" TargetMode="External" Id="rId23"/><Relationship Type="http://schemas.openxmlformats.org/officeDocument/2006/relationships/hyperlink" Target="https://www.ecfr.gov/current/title-20/section-655.122#p-655.122(h)" TargetMode="External" Id="rId24"/><Relationship Type="http://schemas.openxmlformats.org/officeDocument/2006/relationships/hyperlink" Target="https://www.battenkillag.com/resources/travel-reimbursement" TargetMode="External" Id="rId25"/><Relationship Type="http://schemas.openxmlformats.org/officeDocument/2006/relationships/hyperlink" Target="https://www.ecfr.gov/current/title-29/section-1928.110" TargetMode="External" Id="rId26"/><Relationship Type="http://schemas.openxmlformats.org/officeDocument/2006/relationships/hyperlink" Target="https://www.battenkillag.com/resources/housing-requirements" TargetMode="External" Id="rId27"/><Relationship Type="http://schemas.openxmlformats.org/officeDocument/2006/relationships/hyperlink" Target="https://www.ecfr.gov/current/title-20/section-655.122#p-655.122(f)" TargetMode="External" Id="rId28"/><Relationship Type="http://schemas.openxmlformats.org/officeDocument/2006/relationships/hyperlink" Target="https://www.battenkillag.com/resources/h-2a-glossary" TargetMode="External" Id="rId29"/><Relationship Type="http://schemas.openxmlformats.org/officeDocument/2006/relationships/hyperlink" Target="https://www.battenkillag.com/resources/travel-reimbursement" TargetMode="External" Id="rId30"/><Relationship Type="http://schemas.openxmlformats.org/officeDocument/2006/relationships/hyperlink" Target="https://www.ecfr.gov/current/title-20/section-655.122#p-655.122(q)" TargetMode="External" Id="rId31"/><Relationship Type="http://schemas.openxmlformats.org/officeDocument/2006/relationships/hyperlink" Target="https://www.battenkillag.com/resources/h-2a-glossary" TargetMode="External" Id="rId32"/><Relationship Type="http://schemas.openxmlformats.org/officeDocument/2006/relationships/hyperlink" Target="https://www.ecfr.gov/current/title-20/section-655.135" TargetMode="External" Id="rId33"/><Relationship Type="http://schemas.openxmlformats.org/officeDocument/2006/relationships/hyperlink" Target="https://www.battenkillag.com/resources/h-2a-glossary" TargetMode="External" Id="rId34"/><Relationship Type="http://schemas.openxmlformats.org/officeDocument/2006/relationships/hyperlink" Target="https://www.ecfr.gov/current/title-20/section-655.122#p-655.122(h)" TargetMode="External" Id="rId35"/><Relationship Type="http://schemas.openxmlformats.org/officeDocument/2006/relationships/hyperlink" Target="https://www.battenkillag.com/resources/travel-reimbursement" TargetMode="External" Id="rId36"/><Relationship Type="http://schemas.openxmlformats.org/officeDocument/2006/relationships/hyperlink" Target="https://www.ecfr.gov/current/title-20/section-655.122#p-655.122(h)" TargetMode="External" Id="rId37"/><Relationship Type="http://schemas.openxmlformats.org/officeDocument/2006/relationships/hyperlink" Target="https://www.battenkillag.com/resources/travel-reimbursement" TargetMode="External" Id="rId38"/><Relationship Type="http://schemas.openxmlformats.org/officeDocument/2006/relationships/hyperlink" Target="https://www.battenkillag.com/resources/pay-records-checklist" TargetMode="External" Id="rId39"/><Relationship Type="http://schemas.openxmlformats.org/officeDocument/2006/relationships/hyperlink" Target="https://www.ecfr.gov/current/title-20/section-655.120" TargetMode="External" Id="rId40"/><Relationship Type="http://schemas.openxmlformats.org/officeDocument/2006/relationships/hyperlink" Target="https://www.battenkillag.com/resources/aewr-explained" TargetMode="External" Id="rId41"/><Relationship Type="http://schemas.openxmlformats.org/officeDocument/2006/relationships/hyperlink" Target="https://www.ecfr.gov/current/title-20/section-655.122#p-655.122(a)" TargetMode="External" Id="rId42"/><Relationship Type="http://schemas.openxmlformats.org/officeDocument/2006/relationships/hyperlink" Target="https://www.battenkillag.com/resources/pay-records-checklist" TargetMode="External" Id="rId43"/><Relationship Type="http://schemas.openxmlformats.org/officeDocument/2006/relationships/hyperlink" Target="https://www.ecfr.gov/current/title-20/section-655.122#p-655.122(j)" TargetMode="External" Id="rId44"/><Relationship Type="http://schemas.openxmlformats.org/officeDocument/2006/relationships/hyperlink" Target="https://www.battenkillag.com/resources/pay-records-checklist" TargetMode="External" Id="rId45"/><Relationship Type="http://schemas.openxmlformats.org/officeDocument/2006/relationships/hyperlink" Target="https://www.ecfr.gov/current/title-20/section-655.122#p-655.122(j)" TargetMode="External" Id="rId46"/><Relationship Type="http://schemas.openxmlformats.org/officeDocument/2006/relationships/hyperlink" Target="https://www.battenkillag.com/resources/pay-records-checklist" TargetMode="External" Id="rId47"/><Relationship Type="http://schemas.openxmlformats.org/officeDocument/2006/relationships/hyperlink" Target="https://www.ecfr.gov/current/title-20/section-655.122#p-655.122(j)" TargetMode="External" Id="rId48"/><Relationship Type="http://schemas.openxmlformats.org/officeDocument/2006/relationships/hyperlink" Target="https://www.battenkillag.com/resources/pay-records-checklist" TargetMode="External" Id="rId49"/><Relationship Type="http://schemas.openxmlformats.org/officeDocument/2006/relationships/hyperlink" Target="https://www.ecfr.gov/current/title-20/section-655.122#p-655.122(j)" TargetMode="External" Id="rId50"/><Relationship Type="http://schemas.openxmlformats.org/officeDocument/2006/relationships/hyperlink" Target="https://www.battenkillag.com/resources/pay-records-checklist" TargetMode="External" Id="rId51"/><Relationship Type="http://schemas.openxmlformats.org/officeDocument/2006/relationships/hyperlink" Target="https://www.ecfr.gov/current/title-20/section-655.122#p-655.122(j)" TargetMode="External" Id="rId52"/><Relationship Type="http://schemas.openxmlformats.org/officeDocument/2006/relationships/hyperlink" Target="https://www.battenkillag.com/resources/pay-records-checklist" TargetMode="External" Id="rId53"/><Relationship Type="http://schemas.openxmlformats.org/officeDocument/2006/relationships/hyperlink" Target="https://www.ecfr.gov/current/title-20/section-655.122#p-655.122(k)" TargetMode="External" Id="rId54"/><Relationship Type="http://schemas.openxmlformats.org/officeDocument/2006/relationships/hyperlink" Target="https://www.battenkillag.com/resources/pay-records-checklist" TargetMode="External" Id="rId55"/><Relationship Type="http://schemas.openxmlformats.org/officeDocument/2006/relationships/hyperlink" Target="https://www.ecfr.gov/current/title-20/section-655.122#p-655.122(p)" TargetMode="External" Id="rId56"/><Relationship Type="http://schemas.openxmlformats.org/officeDocument/2006/relationships/hyperlink" Target="https://www.battenkillag.com/resources/pay-records-checklist" TargetMode="External" Id="rId57"/><Relationship Type="http://schemas.openxmlformats.org/officeDocument/2006/relationships/hyperlink" Target="https://www.ecfr.gov/current/title-20/section-655.122#p-655.122(j)" TargetMode="External" Id="rId58"/><Relationship Type="http://schemas.openxmlformats.org/officeDocument/2006/relationships/hyperlink" Target="https://www.battenkillag.com/resources/pay-records-checklist" TargetMode="External" Id="rId59"/><Relationship Type="http://schemas.openxmlformats.org/officeDocument/2006/relationships/hyperlink" Target="https://www.ecfr.gov/current/title-20/section-655.122#p-655.122(i)" TargetMode="External" Id="rId60"/><Relationship Type="http://schemas.openxmlformats.org/officeDocument/2006/relationships/hyperlink" Target="https://www.battenkillag.com/resources/three-fourths-guarantee" TargetMode="External" Id="rId61"/><Relationship Type="http://schemas.openxmlformats.org/officeDocument/2006/relationships/hyperlink" Target="https://www.battenkillag.com/resources/terminations-abandonment" TargetMode="External" Id="rId62"/><Relationship Type="http://schemas.openxmlformats.org/officeDocument/2006/relationships/hyperlink" Target="https://www.ecfr.gov/current/title-20/section-655.122#p-655.122(n)" TargetMode="External" Id="rId63"/><Relationship Type="http://schemas.openxmlformats.org/officeDocument/2006/relationships/hyperlink" Target="https://www.battenkillag.com/resources/terminations-abandonment" TargetMode="External" Id="rId64"/><Relationship Type="http://schemas.openxmlformats.org/officeDocument/2006/relationships/hyperlink" Target="https://www.ecfr.gov/current/title-20/section-655.122#p-655.122(n)" TargetMode="External" Id="rId65"/><Relationship Type="http://schemas.openxmlformats.org/officeDocument/2006/relationships/hyperlink" Target="https://www.battenkillag.com/resources/terminations-abandonment" TargetMode="External" Id="rId66"/><Relationship Type="http://schemas.openxmlformats.org/officeDocument/2006/relationships/hyperlink" Target="https://www.battenkillag.com/resources/h-2a-timeline" TargetMode="External" Id="rId67"/><Relationship Type="http://schemas.openxmlformats.org/officeDocument/2006/relationships/hyperlink" Target="https://www.battenkillag.com/resources/h-2a-audit-prep" TargetMode="External" Id="rId68"/><Relationship Type="http://schemas.openxmlformats.org/officeDocument/2006/relationships/hyperlink" Target="https://www.ecfr.gov/current/title-20/section-655.180" TargetMode="External" Id="rId69"/><Relationship Type="http://schemas.openxmlformats.org/officeDocument/2006/relationships/hyperlink" Target="https://www.battenkillag.com/resources/h-2a-audit-prep" TargetMode="External" Id="rId70"/></Relationships>
</file>

<file path=xl/worksheets/_rels/sheet5.xml.rels><Relationships xmlns="http://schemas.openxmlformats.org/package/2006/relationships"><Relationship Type="http://schemas.openxmlformats.org/officeDocument/2006/relationships/hyperlink" Target="https://www.battenkillag.com/resources/h-2a-audit-prep" TargetMode="External" Id="rId1"/><Relationship Type="http://schemas.openxmlformats.org/officeDocument/2006/relationships/hyperlink" Target="https://www.dol.gov/agencies/whd/h2a-compliance-review" TargetMode="External" Id="rId2"/><Relationship Type="http://schemas.openxmlformats.org/officeDocument/2006/relationships/hyperlink" Target="https://www.battenkillag.com/resources/h-2a-glossary" TargetMode="External" Id="rId3"/><Relationship Type="http://schemas.openxmlformats.org/officeDocument/2006/relationships/hyperlink" Target="https://www.dol.gov/agencies/whd/fact-sheets/26-H2A" TargetMode="External" Id="rId4"/><Relationship Type="http://schemas.openxmlformats.org/officeDocument/2006/relationships/hyperlink" Target="https://www.ecfr.gov/current/title-20/chapter-V/part-655/subpart-B" TargetMode="External" Id="rId5"/><Relationship Type="http://schemas.openxmlformats.org/officeDocument/2006/relationships/hyperlink" Target="https://www.battenkillag.com/resources/housing-requirements" TargetMode="External" Id="rId6"/><Relationship Type="http://schemas.openxmlformats.org/officeDocument/2006/relationships/hyperlink" Target="https://www.ecfr.gov/current/title-20/section-655.122#p-655.122(d)" TargetMode="External" Id="rId7"/><Relationship Type="http://schemas.openxmlformats.org/officeDocument/2006/relationships/hyperlink" Target="https://www.battenkillag.com/resources/housing-requirements" TargetMode="External" Id="rId8"/><Relationship Type="http://schemas.openxmlformats.org/officeDocument/2006/relationships/hyperlink" Target="https://www.osha.gov/laws-regs/regulations/standardnumber/1910/1910.142" TargetMode="External" Id="rId9"/><Relationship Type="http://schemas.openxmlformats.org/officeDocument/2006/relationships/hyperlink" Target="https://www.battenkillag.com/resources/housing-requirements" TargetMode="External" Id="rId10"/><Relationship Type="http://schemas.openxmlformats.org/officeDocument/2006/relationships/hyperlink" Target="https://www.osha.gov/laws-regs/regulations/standardnumber/1928/1928.110" TargetMode="External" Id="rId11"/><Relationship Type="http://schemas.openxmlformats.org/officeDocument/2006/relationships/hyperlink" Target="https://dol.ny.gov/h-2a-employers-and-agents" TargetMode="External" Id="rId12"/><Relationship Type="http://schemas.openxmlformats.org/officeDocument/2006/relationships/hyperlink" Target="https://www.battenkillag.com/resources/hiring-us-workers" TargetMode="External" Id="rId13"/><Relationship Type="http://schemas.openxmlformats.org/officeDocument/2006/relationships/hyperlink" Target="https://www.ecfr.gov/current/title-20/chapter-V/part-655/subpart-B" TargetMode="External" Id="rId14"/><Relationship Type="http://schemas.openxmlformats.org/officeDocument/2006/relationships/hyperlink" Target="https://www.battenkillag.com/resources/aewr-explained" TargetMode="External" Id="rId15"/><Relationship Type="http://schemas.openxmlformats.org/officeDocument/2006/relationships/hyperlink" Target="https://flag.dol.gov/wage-data/adverse-effect-wage-rates" TargetMode="External" Id="rId16"/><Relationship Type="http://schemas.openxmlformats.org/officeDocument/2006/relationships/hyperlink" Target="https://www.battenkillag.com/resources/pay-records-checklist" TargetMode="External" Id="rId17"/><Relationship Type="http://schemas.openxmlformats.org/officeDocument/2006/relationships/hyperlink" Target="https://www.ecfr.gov/current/title-20/section-655.122#p-655.122(j)" TargetMode="External" Id="rId18"/><Relationship Type="http://schemas.openxmlformats.org/officeDocument/2006/relationships/hyperlink" Target="https://www.battenkillag.com/resources/three-fourths-guarantee" TargetMode="External" Id="rId19"/><Relationship Type="http://schemas.openxmlformats.org/officeDocument/2006/relationships/hyperlink" Target="https://www.ecfr.gov/current/title-20/section-655.122#p-655.122(i)" TargetMode="External" Id="rId20"/><Relationship Type="http://schemas.openxmlformats.org/officeDocument/2006/relationships/hyperlink" Target="https://www.battenkillag.com/resources/travel-reimbursement" TargetMode="External" Id="rId21"/><Relationship Type="http://schemas.openxmlformats.org/officeDocument/2006/relationships/hyperlink" Target="https://www.ecfr.gov/current/title-20/section-655.122#p-655.122(h)" TargetMode="External" Id="rId22"/><Relationship Type="http://schemas.openxmlformats.org/officeDocument/2006/relationships/hyperlink" Target="https://www.dol.gov/whd/posters/pdf/WHD1491Eng_H2A.pdf" TargetMode="External" Id="rId23"/><Relationship Type="http://schemas.openxmlformats.org/officeDocument/2006/relationships/hyperlink" Target="https://www.dol.gov/agencies/whd/fact-sheets/26b-disclosure-job-order-notice-H-2A" TargetMode="External" Id="rId24"/><Relationship Type="http://schemas.openxmlformats.org/officeDocument/2006/relationships/hyperlink" Target="https://www.battenkillag.com/resources/terminations-abandonment" TargetMode="External" Id="rId25"/><Relationship Type="http://schemas.openxmlformats.org/officeDocument/2006/relationships/hyperlink" Target="https://www.ecfr.gov/current/title-20/section-655.122#p-655.122(n)" TargetMode="External" Id="rId26"/><Relationship Type="http://schemas.openxmlformats.org/officeDocument/2006/relationships/hyperlink" Target="https://www.battenkillag.com/resources/h-2a-timeline" TargetMode="External" Id="rId27"/><Relationship Type="http://schemas.openxmlformats.org/officeDocument/2006/relationships/hyperlink" Target="https://flag.dol.gov/" TargetMode="External" Id="rId28"/></Relationships>
</file>

<file path=xl/worksheets/sheet1.xml><?xml version="1.0" encoding="utf-8"?>
<worksheet xmlns="http://schemas.openxmlformats.org/spreadsheetml/2006/main">
  <sheetPr filterMode="0">
    <outlinePr summaryBelow="1" summaryRight="1"/>
    <pageSetUpPr fitToPage="0"/>
  </sheetPr>
  <dimension ref="B2:B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0" min="1" max="1"/>
    <col width="100" customWidth="1" style="40" min="2" max="2"/>
  </cols>
  <sheetData>
    <row r="2" ht="21.75" customHeight="1" s="41">
      <c r="B2" s="42" t="inlineStr">
        <is>
          <t>Battenkill Ag H-2A Audit-Ready Checklist</t>
        </is>
      </c>
    </row>
    <row r="3" ht="15" customHeight="1" s="41">
      <c r="B3" s="43" t="inlineStr">
        <is>
          <t>Free template from Battenkill Ag. Keep every record DOL can ask for in one place, season after season.</t>
        </is>
      </c>
    </row>
    <row r="4" ht="15" customHeight="1" s="41">
      <c r="B4" s="44" t="n"/>
    </row>
    <row r="5" ht="15.75" customHeight="1" s="41">
      <c r="B5" s="45" t="inlineStr">
        <is>
          <t>How to use this workbook</t>
        </is>
      </c>
    </row>
    <row r="6" ht="15" customHeight="1" s="41">
      <c r="B6" s="48" t="inlineStr">
        <is>
          <t>1. Fill in the Season Info tab once per season (farm name, case number, certification date).</t>
        </is>
      </c>
    </row>
    <row r="7" ht="30" customHeight="1" s="41">
      <c r="B7" s="47" t="inlineStr">
        <is>
          <t>2. On the Audit Checklist tab, mark whether each record applies to your farm and whether you have it. The progress box at the top updates on its own.</t>
        </is>
      </c>
    </row>
    <row r="8" ht="15" customHeight="1" s="41">
      <c r="B8" s="48" t="inlineStr">
        <is>
          <t>3. Write where each record is kept (binder, folder, payroll system) so anyone on your team can find it fast.</t>
        </is>
      </c>
    </row>
    <row r="9" ht="30" customHeight="1" s="41">
      <c r="B9" s="48" t="inlineStr">
        <is>
          <t>4. Use the Worker Departures tab any time a worker abandons the job or is fired for cause. It works out the 2-working-day notice deadline for you.</t>
        </is>
      </c>
    </row>
    <row r="10" ht="15" customHeight="1" s="41">
      <c r="B10" s="48" t="inlineStr">
        <is>
          <t>5. Click any Rule to read the regulation, or any Learn more link for a plain-English guide. The Resources tab lists more help by topic, like housing, wages and travel.</t>
        </is>
      </c>
    </row>
    <row r="11" ht="15" customHeight="1" s="41">
      <c r="B11" s="48" t="inlineStr">
        <is>
          <t>6. Keep everything for at least 3 years from your certification date (20 CFR 655.167).</t>
        </is>
      </c>
    </row>
    <row r="12" ht="15.75" customHeight="1" s="41">
      <c r="B12" s="45" t="inlineStr">
        <is>
          <t>Legend</t>
        </is>
      </c>
    </row>
    <row r="13" ht="15" customHeight="1" s="41">
      <c r="B13" s="48" t="inlineStr">
        <is>
          <t>Light yellow cells are for you to fill in. Everything else calculates on its own.</t>
        </is>
      </c>
    </row>
    <row r="14" ht="15" customHeight="1" s="41">
      <c r="B14" s="48" t="inlineStr">
        <is>
          <t>Rows in grey italics are examples showing the expected format. Overwrite or delete them.</t>
        </is>
      </c>
    </row>
    <row r="15" ht="15" customHeight="1" s="41">
      <c r="B15" s="44" t="n"/>
    </row>
    <row r="16" ht="15.75" customHeight="1" s="41">
      <c r="B16" s="45" t="inlineStr">
        <is>
          <t>Want this done for you?</t>
        </is>
      </c>
    </row>
    <row r="17" ht="30" customHeight="1" s="41">
      <c r="B17" s="48" t="inlineStr">
        <is>
          <t>Every Battenkill Ag customer gets a digital filing cabinet to keep track of important documents, deadlines and billing, with these records organized by requirement, so an audit response starts from a complete folder.</t>
        </is>
      </c>
    </row>
    <row r="18" ht="15" customHeight="1" s="41">
      <c r="B18" s="49" t="inlineStr">
        <is>
          <t>Talk to us: 512-540-4533  |  max@battenkillag.com  |  www.battenkillag.com</t>
        </is>
      </c>
    </row>
    <row r="19" ht="15" customHeight="1" s="41">
      <c r="B19" s="44" t="n"/>
    </row>
    <row r="20" ht="15.75" customHeight="1" s="41">
      <c r="B20" s="45" t="inlineStr">
        <is>
          <t>Important</t>
        </is>
      </c>
    </row>
    <row r="21" ht="45" customHeight="1" s="41">
      <c r="B21" s="50" t="inlineStr">
        <is>
          <t>Battenkill Ag is an H-2A agent, not a law firm. This checklist is general information, not legal advice, and may not list every record your case requires. Rules change, so check the regulations or talk to an immigration attorney about your situation. Last reviewed October 2026.</t>
        </is>
      </c>
    </row>
  </sheetData>
  <hyperlinks>
    <hyperlink xmlns:r="http://schemas.openxmlformats.org/officeDocument/2006/relationships" ref="B1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40" min="1" max="1"/>
    <col width="26" customWidth="1" style="40" min="2" max="2"/>
    <col width="60" customWidth="1" style="40" min="3" max="3"/>
  </cols>
  <sheetData>
    <row r="1" ht="19.5" customHeight="1" s="41">
      <c r="A1" s="51" t="inlineStr">
        <is>
          <t>Season Info</t>
        </is>
      </c>
    </row>
    <row r="3" ht="15" customHeight="1" s="41">
      <c r="A3" s="52" t="inlineStr">
        <is>
          <t>Farm name</t>
        </is>
      </c>
      <c r="B3" s="53" t="inlineStr">
        <is>
          <t>Example Family Farm</t>
        </is>
      </c>
      <c r="C3" s="54" t="n"/>
    </row>
    <row r="4" ht="15" customHeight="1" s="41">
      <c r="A4" s="52" t="inlineStr">
        <is>
          <t>Season (year)</t>
        </is>
      </c>
      <c r="B4" s="55" t="inlineStr">
        <is>
          <t>2027</t>
        </is>
      </c>
      <c r="C4" s="54" t="n"/>
    </row>
    <row r="5" ht="15" customHeight="1" s="41">
      <c r="A5" s="52" t="inlineStr">
        <is>
          <t>DOL case number</t>
        </is>
      </c>
      <c r="B5" s="53" t="inlineStr">
        <is>
          <t>H-300-00000-000000</t>
        </is>
      </c>
      <c r="C5" s="54" t="inlineStr">
        <is>
          <t>Found on your certification</t>
        </is>
      </c>
    </row>
    <row r="6" ht="15" customHeight="1" s="41">
      <c r="A6" s="52" t="inlineStr">
        <is>
          <t>Certification date</t>
        </is>
      </c>
      <c r="B6" s="56" t="n"/>
      <c r="C6" s="54" t="inlineStr">
        <is>
          <t>Date DOL certified your application</t>
        </is>
      </c>
    </row>
    <row r="7" ht="15" customHeight="1" s="41">
      <c r="A7" s="52" t="inlineStr">
        <is>
          <t>Keep records until</t>
        </is>
      </c>
      <c r="B7" s="57">
        <f>IF(B6="","",EDATE(B6,36))</f>
        <v/>
      </c>
      <c r="C7" s="54" t="inlineStr">
        <is>
          <t>3 years from certification (20 CFR 655.167)</t>
        </is>
      </c>
    </row>
    <row r="8" ht="15" customHeight="1" s="41">
      <c r="A8" s="52" t="inlineStr">
        <is>
          <t>Audit letter received (if any)</t>
        </is>
      </c>
      <c r="B8" s="56" t="n"/>
      <c r="C8" s="54" t="inlineStr">
        <is>
          <t>Leave blank unless DOL sends an audit letter</t>
        </is>
      </c>
    </row>
    <row r="9" ht="15" customHeight="1" s="41">
      <c r="A9" s="52" t="inlineStr">
        <is>
          <t>Response due date stated in letter</t>
        </is>
      </c>
      <c r="B9" s="56" t="n"/>
      <c r="C9" s="54" t="inlineStr">
        <is>
          <t>No more than 30 days after the letter (20 CFR 655.180)</t>
        </is>
      </c>
    </row>
    <row r="10" ht="15" customHeight="1" s="41">
      <c r="A10" s="52" t="inlineStr">
        <is>
          <t>Days left to respond</t>
        </is>
      </c>
      <c r="B10" s="58">
        <f>IF(B9="","",B9-TODAY())</f>
        <v/>
      </c>
      <c r="C10" s="54" t="inlineStr">
        <is>
          <t>Counts down from today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I60"/>
  <sheetViews>
    <sheetView showFormulas="0" showGridLines="0" showRowColHeaders="1" showZeros="1" rightToLeft="0" tabSelected="0"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40" min="1" max="1"/>
    <col width="58" customWidth="1" style="40" min="2" max="2"/>
    <col width="20" customWidth="1" style="40" min="3" max="3"/>
    <col width="14" customWidth="1" style="40" min="4" max="4"/>
    <col width="12" customWidth="1" style="40" min="5" max="5"/>
    <col width="30" customWidth="1" style="40" min="6" max="6"/>
    <col width="14" customWidth="1" style="40" min="7" max="7"/>
    <col width="34" customWidth="1" style="40" min="8" max="8"/>
    <col width="30" customWidth="1" style="41" min="9" max="9"/>
  </cols>
  <sheetData>
    <row r="1" ht="19.5" customHeight="1" s="41">
      <c r="A1" s="51" t="inlineStr">
        <is>
          <t>H-2A Audit Checklist</t>
        </is>
      </c>
    </row>
    <row r="2" ht="15" customHeight="1" s="41">
      <c r="A2" s="59" t="inlineStr">
        <is>
          <t>Mark each record. Keep everything at least 3 years from your certification date.</t>
        </is>
      </c>
    </row>
    <row r="4" ht="15" customHeight="1" s="41">
      <c r="B4" s="52" t="inlineStr">
        <is>
          <t>Records that apply to your farm</t>
        </is>
      </c>
      <c r="C4" s="60">
        <f>COUNTIF($D$10:$D$47,"Yes")</f>
        <v/>
      </c>
      <c r="D4" s="54" t="inlineStr">
        <is>
          <t>Mark rows Yes in column D to count them</t>
        </is>
      </c>
    </row>
    <row r="5" ht="15" customHeight="1" s="41">
      <c r="B5" s="52" t="inlineStr">
        <is>
          <t>Records you have</t>
        </is>
      </c>
      <c r="C5" s="60">
        <f>COUNTIFS($D$10:$D$47,"Yes",$E$10:$E$47,"Yes")</f>
        <v/>
      </c>
    </row>
    <row r="6" ht="15" customHeight="1" s="41">
      <c r="B6" s="52" t="inlineStr">
        <is>
          <t>Ready for an audit</t>
        </is>
      </c>
      <c r="C6" s="61">
        <f>IF(C4=0,"",C5/C4)</f>
        <v/>
      </c>
    </row>
    <row r="8" ht="31.5" customHeight="1" s="41">
      <c r="A8" s="63" t="inlineStr">
        <is>
          <t>#</t>
        </is>
      </c>
      <c r="B8" s="63" t="inlineStr">
        <is>
          <t>Record</t>
        </is>
      </c>
      <c r="C8" s="63" t="inlineStr">
        <is>
          <t>Rule</t>
        </is>
      </c>
      <c r="D8" s="63" t="inlineStr">
        <is>
          <t>Applies to my farm?</t>
        </is>
      </c>
      <c r="E8" s="63" t="inlineStr">
        <is>
          <t>Have it?</t>
        </is>
      </c>
      <c r="F8" s="63" t="inlineStr">
        <is>
          <t>Where it's kept</t>
        </is>
      </c>
      <c r="G8" s="63" t="inlineStr">
        <is>
          <t>Last updated</t>
        </is>
      </c>
      <c r="H8" s="63" t="inlineStr">
        <is>
          <t>Notes</t>
        </is>
      </c>
      <c r="I8" s="63" t="inlineStr">
        <is>
          <t>Learn more</t>
        </is>
      </c>
    </row>
    <row r="9" ht="15" customHeight="1" s="41">
      <c r="A9" s="64" t="inlineStr">
        <is>
          <t>Ex.</t>
        </is>
      </c>
      <c r="B9" s="64" t="inlineStr">
        <is>
          <t>Example: Housing inspection certificate</t>
        </is>
      </c>
      <c r="C9" s="64" t="inlineStr">
        <is>
          <t>20 CFR 655.122(d)</t>
        </is>
      </c>
      <c r="D9" s="64" t="inlineStr">
        <is>
          <t>Yes</t>
        </is>
      </c>
      <c r="E9" s="64" t="inlineStr">
        <is>
          <t>Yes</t>
        </is>
      </c>
      <c r="F9" s="64" t="inlineStr">
        <is>
          <t>Office binder, tab 3</t>
        </is>
      </c>
      <c r="G9" s="65">
        <f>DATE(2027,3,2)</f>
        <v/>
      </c>
      <c r="H9" s="64" t="inlineStr">
        <is>
          <t>Inspected March 2, passed</t>
        </is>
      </c>
      <c r="I9" s="66" t="inlineStr">
        <is>
          <t>Housing requirements</t>
        </is>
      </c>
    </row>
    <row r="10" s="41">
      <c r="A10" s="67" t="n"/>
      <c r="B10" s="68" t="inlineStr">
        <is>
          <t>Application and recruitment</t>
        </is>
      </c>
      <c r="C10" s="67" t="n"/>
      <c r="D10" s="67" t="n"/>
      <c r="E10" s="67" t="n"/>
      <c r="F10" s="67" t="n"/>
      <c r="G10" s="67" t="n"/>
      <c r="H10" s="67" t="n"/>
      <c r="I10" s="69" t="inlineStr">
        <is>
          <t>Guide: Hiring U.S. workers →</t>
        </is>
      </c>
    </row>
    <row r="11" ht="30" customHeight="1" s="41">
      <c r="A11" s="70" t="n">
        <v>1</v>
      </c>
      <c r="B11" s="70" t="inlineStr">
        <is>
          <t>Job order (ETA-790/790A), application (ETA-9142A) and DOL certification</t>
        </is>
      </c>
      <c r="C11" s="71" t="inlineStr">
        <is>
          <t>20 CFR 655.167</t>
        </is>
      </c>
      <c r="D11" s="72" t="n"/>
      <c r="E11" s="72" t="n"/>
      <c r="F11" s="72" t="n"/>
      <c r="G11" s="73" t="n"/>
      <c r="H11" s="72" t="n"/>
      <c r="I11" s="74" t="inlineStr">
        <is>
          <t>H-2A timeline</t>
        </is>
      </c>
    </row>
    <row r="12" ht="30" customHeight="1" s="41">
      <c r="A12" s="70" t="n">
        <v>2</v>
      </c>
      <c r="B12" s="70" t="inlineStr">
        <is>
          <t>Proof the job order was placed with your state workforce agency</t>
        </is>
      </c>
      <c r="C12" s="71" t="inlineStr">
        <is>
          <t>20 CFR 655.121</t>
        </is>
      </c>
      <c r="D12" s="72" t="n"/>
      <c r="E12" s="72" t="n"/>
      <c r="F12" s="72" t="n"/>
      <c r="G12" s="73" t="n"/>
      <c r="H12" s="72" t="n"/>
      <c r="I12" s="74" t="inlineStr">
        <is>
          <t>Hiring U.S. workers</t>
        </is>
      </c>
    </row>
    <row r="13" ht="18" customHeight="1" s="41">
      <c r="A13" s="70" t="n">
        <v>3</v>
      </c>
      <c r="B13" s="70" t="inlineStr">
        <is>
          <t>Letters, texts or calls to U.S. workers from last season</t>
        </is>
      </c>
      <c r="C13" s="71" t="inlineStr">
        <is>
          <t>20 CFR 655.153</t>
        </is>
      </c>
      <c r="D13" s="72" t="n"/>
      <c r="E13" s="72" t="n"/>
      <c r="F13" s="72" t="n"/>
      <c r="G13" s="73" t="n"/>
      <c r="H13" s="72" t="n"/>
      <c r="I13" s="74" t="inlineStr">
        <is>
          <t>Hiring U.S. workers</t>
        </is>
      </c>
    </row>
    <row r="14" ht="18" customHeight="1" s="41">
      <c r="A14" s="70" t="n">
        <v>4</v>
      </c>
      <c r="B14" s="70" t="inlineStr">
        <is>
          <t>Recruitment report</t>
        </is>
      </c>
      <c r="C14" s="71" t="inlineStr">
        <is>
          <t>20 CFR 655.156</t>
        </is>
      </c>
      <c r="D14" s="72" t="n"/>
      <c r="E14" s="72" t="n"/>
      <c r="F14" s="72" t="n"/>
      <c r="G14" s="73" t="n"/>
      <c r="H14" s="72" t="n"/>
      <c r="I14" s="74" t="inlineStr">
        <is>
          <t>Hiring U.S. workers</t>
        </is>
      </c>
    </row>
    <row r="15" ht="30" customHeight="1" s="41">
      <c r="A15" s="70" t="n">
        <v>5</v>
      </c>
      <c r="B15" s="70" t="inlineStr">
        <is>
          <t>Applicant log: every U.S. applicant, the date, the outcome and a lawful reason</t>
        </is>
      </c>
      <c r="C15" s="71" t="inlineStr">
        <is>
          <t>20 CFR 655.135</t>
        </is>
      </c>
      <c r="D15" s="72" t="n"/>
      <c r="E15" s="72" t="n"/>
      <c r="F15" s="72" t="n"/>
      <c r="G15" s="73" t="n"/>
      <c r="H15" s="72" t="n"/>
      <c r="I15" s="74" t="inlineStr">
        <is>
          <t>Hiring U.S. workers</t>
        </is>
      </c>
    </row>
    <row r="16" ht="30" customHeight="1" s="41">
      <c r="A16" s="70" t="n">
        <v>6</v>
      </c>
      <c r="B16" s="70" t="inlineStr">
        <is>
          <t>Contracts with any foreign recruiters that ban charging workers fees</t>
        </is>
      </c>
      <c r="C16" s="71" t="inlineStr">
        <is>
          <t>20 CFR 655.135</t>
        </is>
      </c>
      <c r="D16" s="72" t="n"/>
      <c r="E16" s="72" t="n"/>
      <c r="F16" s="72" t="n"/>
      <c r="G16" s="73" t="n"/>
      <c r="H16" s="72" t="n"/>
      <c r="I16" s="74" t="inlineStr">
        <is>
          <t>Hiring U.S. workers</t>
        </is>
      </c>
    </row>
    <row r="17" s="41">
      <c r="A17" s="67" t="n"/>
      <c r="B17" s="68" t="inlineStr">
        <is>
          <t>Housing, safety and insurance</t>
        </is>
      </c>
      <c r="C17" s="67" t="n"/>
      <c r="D17" s="67" t="n"/>
      <c r="E17" s="67" t="n"/>
      <c r="F17" s="67" t="n"/>
      <c r="G17" s="67" t="n"/>
      <c r="H17" s="67" t="n"/>
      <c r="I17" s="69" t="inlineStr">
        <is>
          <t>Guide: Housing requirements →</t>
        </is>
      </c>
    </row>
    <row r="18" ht="30" customHeight="1" s="41">
      <c r="A18" s="70" t="n">
        <v>7</v>
      </c>
      <c r="B18" s="70" t="inlineStr">
        <is>
          <t>Housing inspection certificate, or rental housing compliance statement</t>
        </is>
      </c>
      <c r="C18" s="71" t="inlineStr">
        <is>
          <t>20 CFR 655.122(d)</t>
        </is>
      </c>
      <c r="D18" s="72" t="n"/>
      <c r="E18" s="72" t="n"/>
      <c r="F18" s="72" t="n"/>
      <c r="G18" s="73" t="n"/>
      <c r="H18" s="72" t="n"/>
      <c r="I18" s="74" t="inlineStr">
        <is>
          <t>Housing requirements</t>
        </is>
      </c>
    </row>
    <row r="19" ht="30" customHeight="1" s="41">
      <c r="A19" s="70" t="n">
        <v>8</v>
      </c>
      <c r="B19" s="70" t="inlineStr">
        <is>
          <t>Housing kept to standard all season: water, toilets, beds, cooking and fire safety</t>
        </is>
      </c>
      <c r="C19" s="71" t="inlineStr">
        <is>
          <t>29 CFR 1910.142</t>
        </is>
      </c>
      <c r="D19" s="72" t="n"/>
      <c r="E19" s="72" t="n"/>
      <c r="F19" s="72" t="n"/>
      <c r="G19" s="73" t="n"/>
      <c r="H19" s="72" t="n"/>
      <c r="I19" s="74" t="inlineStr">
        <is>
          <t>Housing requirements</t>
        </is>
      </c>
    </row>
    <row r="20" ht="30" customHeight="1" s="41">
      <c r="A20" s="70" t="n">
        <v>9</v>
      </c>
      <c r="B20" s="70" t="inlineStr">
        <is>
          <t>Meals provided, or free and convenient kitchen facilities, as stated in the job order</t>
        </is>
      </c>
      <c r="C20" s="71" t="inlineStr">
        <is>
          <t>20 CFR 655.122(g)</t>
        </is>
      </c>
      <c r="D20" s="72" t="n"/>
      <c r="E20" s="72" t="n"/>
      <c r="F20" s="72" t="n"/>
      <c r="G20" s="73" t="n"/>
      <c r="H20" s="72" t="n"/>
      <c r="I20" s="74" t="inlineStr">
        <is>
          <t>Housing requirements</t>
        </is>
      </c>
    </row>
    <row r="21" ht="18" customHeight="1" s="41">
      <c r="A21" s="70" t="n">
        <v>10</v>
      </c>
      <c r="B21" s="70" t="inlineStr">
        <is>
          <t>Workers' compensation proof covering the whole contract period</t>
        </is>
      </c>
      <c r="C21" s="71" t="inlineStr">
        <is>
          <t>20 CFR 655.122(e)</t>
        </is>
      </c>
      <c r="D21" s="72" t="n"/>
      <c r="E21" s="72" t="n"/>
      <c r="F21" s="72" t="n"/>
      <c r="G21" s="73" t="n"/>
      <c r="H21" s="72" t="n"/>
      <c r="I21" s="74" t="inlineStr">
        <is>
          <t>Housing requirements</t>
        </is>
      </c>
    </row>
    <row r="22" ht="30" customHeight="1" s="41">
      <c r="A22" s="70" t="n">
        <v>11</v>
      </c>
      <c r="B22" s="70" t="inlineStr">
        <is>
          <t>Vehicle registrations, insurance and drivers' licenses for worker transport</t>
        </is>
      </c>
      <c r="C22" s="71" t="inlineStr">
        <is>
          <t>20 CFR 655.122(h)</t>
        </is>
      </c>
      <c r="D22" s="72" t="n"/>
      <c r="E22" s="72" t="n"/>
      <c r="F22" s="72" t="n"/>
      <c r="G22" s="73" t="n"/>
      <c r="H22" s="72" t="n"/>
      <c r="I22" s="74" t="inlineStr">
        <is>
          <t>Travel reimbursement</t>
        </is>
      </c>
    </row>
    <row r="23" ht="30" customHeight="1" s="41">
      <c r="A23" s="70" t="n">
        <v>12</v>
      </c>
      <c r="B23" s="70" t="inlineStr">
        <is>
          <t>Field sanitation: drinking water, toilets and handwashing at the work site</t>
        </is>
      </c>
      <c r="C23" s="71" t="inlineStr">
        <is>
          <t>29 CFR 1928.110</t>
        </is>
      </c>
      <c r="D23" s="72" t="n"/>
      <c r="E23" s="72" t="n"/>
      <c r="F23" s="72" t="n"/>
      <c r="G23" s="73" t="n"/>
      <c r="H23" s="72" t="n"/>
      <c r="I23" s="74" t="inlineStr">
        <is>
          <t>Housing requirements</t>
        </is>
      </c>
    </row>
    <row r="24" ht="18" customHeight="1" s="41">
      <c r="A24" s="70" t="n">
        <v>13</v>
      </c>
      <c r="B24" s="70" t="inlineStr">
        <is>
          <t>Tools, supplies and equipment provided at no cost to workers</t>
        </is>
      </c>
      <c r="C24" s="71" t="inlineStr">
        <is>
          <t>20 CFR 655.122(f)</t>
        </is>
      </c>
      <c r="D24" s="72" t="n"/>
      <c r="E24" s="72" t="n"/>
      <c r="F24" s="72" t="n"/>
      <c r="G24" s="73" t="n"/>
      <c r="H24" s="72" t="n"/>
      <c r="I24" s="74" t="inlineStr">
        <is>
          <t>H-2A glossary</t>
        </is>
      </c>
    </row>
    <row r="25" s="41">
      <c r="A25" s="67" t="n"/>
      <c r="B25" s="68" t="inlineStr">
        <is>
          <t>Contracts, notices and travel</t>
        </is>
      </c>
      <c r="C25" s="67" t="n"/>
      <c r="D25" s="67" t="n"/>
      <c r="E25" s="67" t="n"/>
      <c r="F25" s="67" t="n"/>
      <c r="G25" s="67" t="n"/>
      <c r="H25" s="67" t="n"/>
      <c r="I25" s="69" t="inlineStr">
        <is>
          <t>Guide: Travel reimbursement →</t>
        </is>
      </c>
    </row>
    <row r="26" ht="30" customHeight="1" s="41">
      <c r="A26" s="70" t="n">
        <v>14</v>
      </c>
      <c r="B26" s="70" t="inlineStr">
        <is>
          <t>Copy of the job terms given to each worker in a language they understand, with the date given</t>
        </is>
      </c>
      <c r="C26" s="71" t="inlineStr">
        <is>
          <t>20 CFR 655.122(q)</t>
        </is>
      </c>
      <c r="D26" s="72" t="n"/>
      <c r="E26" s="72" t="n"/>
      <c r="F26" s="72" t="n"/>
      <c r="G26" s="73" t="n"/>
      <c r="H26" s="72" t="n"/>
      <c r="I26" s="74" t="inlineStr">
        <is>
          <t>H-2A glossary</t>
        </is>
      </c>
    </row>
    <row r="27" ht="30" customHeight="1" s="41">
      <c r="A27" s="70" t="n">
        <v>15</v>
      </c>
      <c r="B27" s="70" t="inlineStr">
        <is>
          <t>H-2A worker rights poster (WHD-1491) posted where workers can see it, in English and Spanish</t>
        </is>
      </c>
      <c r="C27" s="71" t="inlineStr">
        <is>
          <t>20 CFR 655.135</t>
        </is>
      </c>
      <c r="D27" s="72" t="n"/>
      <c r="E27" s="72" t="n"/>
      <c r="F27" s="72" t="n"/>
      <c r="G27" s="73" t="n"/>
      <c r="H27" s="72" t="n"/>
      <c r="I27" s="74" t="inlineStr">
        <is>
          <t>H-2A glossary</t>
        </is>
      </c>
    </row>
    <row r="28" ht="30" customHeight="1" s="41">
      <c r="A28" s="70" t="n">
        <v>16</v>
      </c>
      <c r="B28" s="70" t="inlineStr">
        <is>
          <t>Inbound travel and daily subsistence reimbursements (paid by the 50% point)</t>
        </is>
      </c>
      <c r="C28" s="71" t="inlineStr">
        <is>
          <t>20 CFR 655.122(h)</t>
        </is>
      </c>
      <c r="D28" s="72" t="n"/>
      <c r="E28" s="72" t="n"/>
      <c r="F28" s="72" t="n"/>
      <c r="G28" s="73" t="n"/>
      <c r="H28" s="72" t="n"/>
      <c r="I28" s="74" t="inlineStr">
        <is>
          <t>Travel reimbursement</t>
        </is>
      </c>
    </row>
    <row r="29" ht="18" customHeight="1" s="41">
      <c r="A29" s="70" t="n">
        <v>17</v>
      </c>
      <c r="B29" s="70" t="inlineStr">
        <is>
          <t>Return travel records at the end of the contract</t>
        </is>
      </c>
      <c r="C29" s="71" t="inlineStr">
        <is>
          <t>20 CFR 655.122(h)</t>
        </is>
      </c>
      <c r="D29" s="72" t="n"/>
      <c r="E29" s="72" t="n"/>
      <c r="F29" s="72" t="n"/>
      <c r="G29" s="73" t="n"/>
      <c r="H29" s="72" t="n"/>
      <c r="I29" s="74" t="inlineStr">
        <is>
          <t>Travel reimbursement</t>
        </is>
      </c>
    </row>
    <row r="30" s="41">
      <c r="A30" s="67" t="n"/>
      <c r="B30" s="68" t="inlineStr">
        <is>
          <t>Hours and pay</t>
        </is>
      </c>
      <c r="C30" s="67" t="n"/>
      <c r="D30" s="67" t="n"/>
      <c r="E30" s="67" t="n"/>
      <c r="F30" s="67" t="n"/>
      <c r="G30" s="67" t="n"/>
      <c r="H30" s="67" t="n"/>
      <c r="I30" s="69" t="inlineStr">
        <is>
          <t>Guide: Pay records checklist →</t>
        </is>
      </c>
    </row>
    <row r="31" ht="30" customHeight="1" s="41">
      <c r="A31" s="70" t="n">
        <v>18</v>
      </c>
      <c r="B31" s="70" t="inlineStr">
        <is>
          <t>Wage rate paid is at least the AEWR or other required rate in effect</t>
        </is>
      </c>
      <c r="C31" s="71" t="inlineStr">
        <is>
          <t>20 CFR 655.120</t>
        </is>
      </c>
      <c r="D31" s="72" t="n"/>
      <c r="E31" s="72" t="n"/>
      <c r="F31" s="72" t="n"/>
      <c r="G31" s="73" t="n"/>
      <c r="H31" s="72" t="n"/>
      <c r="I31" s="74" t="inlineStr">
        <is>
          <t>AEWR explained</t>
        </is>
      </c>
    </row>
    <row r="32" ht="30" customHeight="1" s="41">
      <c r="A32" s="70" t="n">
        <v>19</v>
      </c>
      <c r="B32" s="70" t="inlineStr">
        <is>
          <t>U.S. workers in corresponding jobs paid the same rate and terms</t>
        </is>
      </c>
      <c r="C32" s="71" t="inlineStr">
        <is>
          <t>20 CFR 655.122(a)</t>
        </is>
      </c>
      <c r="D32" s="72" t="n"/>
      <c r="E32" s="72" t="n"/>
      <c r="F32" s="72" t="n"/>
      <c r="G32" s="73" t="n"/>
      <c r="H32" s="72" t="n"/>
      <c r="I32" s="74" t="inlineStr">
        <is>
          <t>Pay records checklist</t>
        </is>
      </c>
    </row>
    <row r="33" ht="30" customHeight="1" s="41">
      <c r="A33" s="70" t="n">
        <v>20</v>
      </c>
      <c r="B33" s="70" t="inlineStr">
        <is>
          <t>Daily hours offered, with guaranteed and extra hours kept separate</t>
        </is>
      </c>
      <c r="C33" s="71" t="inlineStr">
        <is>
          <t>20 CFR 655.122(j)</t>
        </is>
      </c>
      <c r="D33" s="72" t="n"/>
      <c r="E33" s="72" t="n"/>
      <c r="F33" s="72" t="n"/>
      <c r="G33" s="73" t="n"/>
      <c r="H33" s="72" t="n"/>
      <c r="I33" s="74" t="inlineStr">
        <is>
          <t>Pay records checklist</t>
        </is>
      </c>
    </row>
    <row r="34" ht="18" customHeight="1" s="41">
      <c r="A34" s="70" t="n">
        <v>21</v>
      </c>
      <c r="B34" s="70" t="inlineStr">
        <is>
          <t>Daily hours worked, with start and stop times</t>
        </is>
      </c>
      <c r="C34" s="71" t="inlineStr">
        <is>
          <t>20 CFR 655.122(j)</t>
        </is>
      </c>
      <c r="D34" s="72" t="n"/>
      <c r="E34" s="72" t="n"/>
      <c r="F34" s="72" t="n"/>
      <c r="G34" s="73" t="n"/>
      <c r="H34" s="72" t="n"/>
      <c r="I34" s="74" t="inlineStr">
        <is>
          <t>Pay records checklist</t>
        </is>
      </c>
    </row>
    <row r="35" ht="30" customHeight="1" s="41">
      <c r="A35" s="70" t="n">
        <v>22</v>
      </c>
      <c r="B35" s="70" t="inlineStr">
        <is>
          <t>Reason recorded whenever hours worked were fewer than hours offered</t>
        </is>
      </c>
      <c r="C35" s="71" t="inlineStr">
        <is>
          <t>20 CFR 655.122(j)</t>
        </is>
      </c>
      <c r="D35" s="72" t="n"/>
      <c r="E35" s="72" t="n"/>
      <c r="F35" s="72" t="n"/>
      <c r="G35" s="73" t="n"/>
      <c r="H35" s="72" t="n"/>
      <c r="I35" s="74" t="inlineStr">
        <is>
          <t>Pay records checklist</t>
        </is>
      </c>
    </row>
    <row r="36" ht="18" customHeight="1" s="41">
      <c r="A36" s="70" t="n">
        <v>23</v>
      </c>
      <c r="B36" s="70" t="inlineStr">
        <is>
          <t>Field tally records and units produced (piece rate work)</t>
        </is>
      </c>
      <c r="C36" s="71" t="inlineStr">
        <is>
          <t>20 CFR 655.122(j)</t>
        </is>
      </c>
      <c r="D36" s="72" t="n"/>
      <c r="E36" s="72" t="n"/>
      <c r="F36" s="72" t="n"/>
      <c r="G36" s="73" t="n"/>
      <c r="H36" s="72" t="n"/>
      <c r="I36" s="74" t="inlineStr">
        <is>
          <t>Pay records checklist</t>
        </is>
      </c>
    </row>
    <row r="37" ht="18" customHeight="1" s="41">
      <c r="A37" s="70" t="n">
        <v>24</v>
      </c>
      <c r="B37" s="70" t="inlineStr">
        <is>
          <t>Payroll summaries: rate of pay and earnings each pay period</t>
        </is>
      </c>
      <c r="C37" s="71" t="inlineStr">
        <is>
          <t>20 CFR 655.122(j)</t>
        </is>
      </c>
      <c r="D37" s="72" t="n"/>
      <c r="E37" s="72" t="n"/>
      <c r="F37" s="72" t="n"/>
      <c r="G37" s="73" t="n"/>
      <c r="H37" s="72" t="n"/>
      <c r="I37" s="74" t="inlineStr">
        <is>
          <t>Pay records checklist</t>
        </is>
      </c>
    </row>
    <row r="38" ht="30" customHeight="1" s="41">
      <c r="A38" s="70" t="n">
        <v>25</v>
      </c>
      <c r="B38" s="70" t="inlineStr">
        <is>
          <t>Pay statement for every worker, every pay period, with all required items</t>
        </is>
      </c>
      <c r="C38" s="71" t="inlineStr">
        <is>
          <t>20 CFR 655.122(k)</t>
        </is>
      </c>
      <c r="D38" s="72" t="n"/>
      <c r="E38" s="72" t="n"/>
      <c r="F38" s="72" t="n"/>
      <c r="G38" s="73" t="n"/>
      <c r="H38" s="72" t="n"/>
      <c r="I38" s="74" t="inlineStr">
        <is>
          <t>Pay records checklist</t>
        </is>
      </c>
    </row>
    <row r="39" ht="18" customHeight="1" s="41">
      <c r="A39" s="70" t="n">
        <v>26</v>
      </c>
      <c r="B39" s="70" t="inlineStr">
        <is>
          <t>Every deduction, with the amount and reason</t>
        </is>
      </c>
      <c r="C39" s="71" t="inlineStr">
        <is>
          <t>20 CFR 655.122(p)</t>
        </is>
      </c>
      <c r="D39" s="72" t="n"/>
      <c r="E39" s="72" t="n"/>
      <c r="F39" s="72" t="n"/>
      <c r="G39" s="73" t="n"/>
      <c r="H39" s="72" t="n"/>
      <c r="I39" s="74" t="inlineStr">
        <is>
          <t>Pay records checklist</t>
        </is>
      </c>
    </row>
    <row r="40" ht="30" customHeight="1" s="41">
      <c r="A40" s="70" t="n">
        <v>27</v>
      </c>
      <c r="B40" s="70" t="inlineStr">
        <is>
          <t>Each worker's permanent home address, plus phone and email if available</t>
        </is>
      </c>
      <c r="C40" s="71" t="inlineStr">
        <is>
          <t>20 CFR 655.122(j)</t>
        </is>
      </c>
      <c r="D40" s="72" t="n"/>
      <c r="E40" s="72" t="n"/>
      <c r="F40" s="72" t="n"/>
      <c r="G40" s="73" t="n"/>
      <c r="H40" s="72" t="n"/>
      <c r="I40" s="74" t="inlineStr">
        <is>
          <t>Pay records checklist</t>
        </is>
      </c>
    </row>
    <row r="41" ht="18" customHeight="1" s="41">
      <c r="A41" s="70" t="n">
        <v>28</v>
      </c>
      <c r="B41" s="70" t="inlineStr">
        <is>
          <t>Three-fourths guarantee check at the end of the contract</t>
        </is>
      </c>
      <c r="C41" s="71" t="inlineStr">
        <is>
          <t>20 CFR 655.122(i)</t>
        </is>
      </c>
      <c r="D41" s="72" t="n"/>
      <c r="E41" s="72" t="n"/>
      <c r="F41" s="72" t="n"/>
      <c r="G41" s="73" t="n"/>
      <c r="H41" s="72" t="n"/>
      <c r="I41" s="74" t="inlineStr">
        <is>
          <t>Three-fourths guarantee</t>
        </is>
      </c>
    </row>
    <row r="42" s="41">
      <c r="A42" s="67" t="n"/>
      <c r="B42" s="68" t="inlineStr">
        <is>
          <t>Departures and changes</t>
        </is>
      </c>
      <c r="C42" s="67" t="n"/>
      <c r="D42" s="67" t="n"/>
      <c r="E42" s="67" t="n"/>
      <c r="F42" s="67" t="n"/>
      <c r="G42" s="67" t="n"/>
      <c r="H42" s="67" t="n"/>
      <c r="I42" s="69" t="inlineStr">
        <is>
          <t>Guide: When a worker leaves →</t>
        </is>
      </c>
    </row>
    <row r="43" ht="30" customHeight="1" s="41">
      <c r="A43" s="70" t="n">
        <v>29</v>
      </c>
      <c r="B43" s="70" t="inlineStr">
        <is>
          <t>Abandonment or termination notices sent to DOL and DHS within 2 working days</t>
        </is>
      </c>
      <c r="C43" s="71" t="inlineStr">
        <is>
          <t>20 CFR 655.122(n)</t>
        </is>
      </c>
      <c r="D43" s="72" t="n"/>
      <c r="E43" s="72" t="n"/>
      <c r="F43" s="72" t="n"/>
      <c r="G43" s="73" t="n"/>
      <c r="H43" s="72" t="n"/>
      <c r="I43" s="74" t="inlineStr">
        <is>
          <t>When a worker leaves</t>
        </is>
      </c>
    </row>
    <row r="44" ht="30" customHeight="1" s="41">
      <c r="A44" s="70" t="n">
        <v>30</v>
      </c>
      <c r="B44" s="70" t="inlineStr">
        <is>
          <t>Warnings, discipline records and the reason for each termination</t>
        </is>
      </c>
      <c r="C44" s="71" t="inlineStr">
        <is>
          <t>20 CFR 655.122(n)</t>
        </is>
      </c>
      <c r="D44" s="72" t="n"/>
      <c r="E44" s="72" t="n"/>
      <c r="F44" s="72" t="n"/>
      <c r="G44" s="73" t="n"/>
      <c r="H44" s="72" t="n"/>
      <c r="I44" s="74" t="inlineStr">
        <is>
          <t>When a worker leaves</t>
        </is>
      </c>
    </row>
    <row r="45" ht="18" customHeight="1" s="41">
      <c r="A45" s="70" t="n">
        <v>31</v>
      </c>
      <c r="B45" s="70" t="inlineStr">
        <is>
          <t>Notices to workers about any delay in your start date</t>
        </is>
      </c>
      <c r="C45" s="71" t="inlineStr">
        <is>
          <t>Job order</t>
        </is>
      </c>
      <c r="D45" s="72" t="n"/>
      <c r="E45" s="72" t="n"/>
      <c r="F45" s="72" t="n"/>
      <c r="G45" s="73" t="n"/>
      <c r="H45" s="72" t="n"/>
      <c r="I45" s="74" t="inlineStr">
        <is>
          <t>H-2A timeline</t>
        </is>
      </c>
    </row>
    <row r="46" s="41">
      <c r="A46" s="67" t="n"/>
      <c r="B46" s="68" t="inlineStr">
        <is>
          <t>If an audit letter arrives</t>
        </is>
      </c>
      <c r="C46" s="67" t="n"/>
      <c r="D46" s="67" t="n"/>
      <c r="E46" s="67" t="n"/>
      <c r="F46" s="67" t="n"/>
      <c r="G46" s="67" t="n"/>
      <c r="H46" s="67" t="n"/>
      <c r="I46" s="69" t="inlineStr">
        <is>
          <t>Guide: Preparing for an audit →</t>
        </is>
      </c>
    </row>
    <row r="47" ht="30" customHeight="1" s="41">
      <c r="A47" s="70" t="n">
        <v>32</v>
      </c>
      <c r="B47" s="70" t="inlineStr">
        <is>
          <t>The audit letter, its due date, and a copy of everything you sent back</t>
        </is>
      </c>
      <c r="C47" s="71" t="inlineStr">
        <is>
          <t>20 CFR 655.180</t>
        </is>
      </c>
      <c r="D47" s="72" t="n"/>
      <c r="E47" s="72" t="n"/>
      <c r="F47" s="72" t="n"/>
      <c r="G47" s="73" t="n"/>
      <c r="H47" s="72" t="n"/>
      <c r="I47" s="74" t="inlineStr">
        <is>
          <t>Preparing for an audit</t>
        </is>
      </c>
    </row>
    <row r="48" s="41">
      <c r="A48" s="75" t="n"/>
      <c r="B48" s="75" t="n"/>
      <c r="C48" s="75" t="n"/>
      <c r="D48" s="75" t="n"/>
      <c r="E48" s="75" t="n"/>
      <c r="F48" s="75" t="n"/>
      <c r="G48" s="75" t="n"/>
      <c r="H48" s="75" t="n"/>
      <c r="I48" s="75" t="n"/>
    </row>
    <row r="49" s="41">
      <c r="A49" s="75" t="n"/>
      <c r="B49" s="91" t="inlineStr">
        <is>
          <t>Click any Rule to read the regulation, or any Learn more link for a plain-English guide. More links are on the Resources tab.</t>
        </is>
      </c>
      <c r="C49" s="75" t="n"/>
      <c r="D49" s="75" t="n"/>
      <c r="E49" s="75" t="n"/>
      <c r="F49" s="75" t="n"/>
      <c r="G49" s="75" t="n"/>
      <c r="H49" s="75" t="n"/>
      <c r="I49" s="75" t="n"/>
    </row>
    <row r="50" s="41">
      <c r="A50" s="75" t="n"/>
      <c r="B50" s="91" t="inlineStr">
        <is>
          <t>Every Battenkill Ag customer gets a digital filing cabinet to keep track of important documents, deadlines and billing, including every record on this list.</t>
        </is>
      </c>
      <c r="C50" s="75" t="n"/>
      <c r="D50" s="75" t="n"/>
      <c r="E50" s="75" t="n"/>
      <c r="F50" s="75" t="n"/>
      <c r="G50" s="75" t="n"/>
      <c r="H50" s="75" t="n"/>
      <c r="I50" s="75" t="n"/>
    </row>
    <row r="51" s="41">
      <c r="A51" s="75" t="n"/>
      <c r="B51" s="91" t="inlineStr">
        <is>
          <t>General information, not legal advice. Your case may require records not listed here.</t>
        </is>
      </c>
      <c r="C51" s="75" t="n"/>
      <c r="D51" s="75" t="n"/>
      <c r="E51" s="75" t="n"/>
      <c r="F51" s="75" t="n"/>
      <c r="G51" s="75" t="n"/>
      <c r="H51" s="75" t="n"/>
      <c r="I51" s="75" t="n"/>
    </row>
    <row r="52" s="41">
      <c r="A52" s="75" t="n"/>
      <c r="B52" s="75" t="n"/>
      <c r="C52" s="75" t="n"/>
      <c r="D52" s="75" t="n"/>
      <c r="E52" s="75" t="n"/>
      <c r="F52" s="75" t="n"/>
      <c r="G52" s="75" t="n"/>
      <c r="H52" s="75" t="n"/>
      <c r="I52" s="75" t="n"/>
    </row>
    <row r="53" s="41">
      <c r="A53" s="75" t="n"/>
      <c r="B53" s="75" t="n"/>
      <c r="C53" s="75" t="n"/>
      <c r="D53" s="75" t="n"/>
      <c r="E53" s="75" t="n"/>
      <c r="F53" s="75" t="n"/>
      <c r="G53" s="75" t="n"/>
      <c r="H53" s="75" t="n"/>
      <c r="I53" s="75" t="n"/>
    </row>
    <row r="54" s="41">
      <c r="A54" s="75" t="n"/>
      <c r="B54" s="75" t="n"/>
      <c r="C54" s="75" t="n"/>
      <c r="D54" s="75" t="n"/>
      <c r="E54" s="75" t="n"/>
      <c r="F54" s="75" t="n"/>
      <c r="G54" s="75" t="n"/>
      <c r="H54" s="75" t="n"/>
      <c r="I54" s="75" t="n"/>
    </row>
    <row r="55" s="41">
      <c r="A55" s="75" t="n"/>
      <c r="B55" s="75" t="n"/>
      <c r="C55" s="75" t="n"/>
      <c r="D55" s="75" t="n"/>
      <c r="E55" s="75" t="n"/>
      <c r="F55" s="75" t="n"/>
      <c r="G55" s="75" t="n"/>
      <c r="H55" s="75" t="n"/>
      <c r="I55" s="75" t="n"/>
    </row>
    <row r="56" s="41">
      <c r="A56" s="75" t="n"/>
      <c r="B56" s="75" t="n"/>
      <c r="C56" s="75" t="n"/>
      <c r="D56" s="75" t="n"/>
      <c r="E56" s="75" t="n"/>
      <c r="F56" s="75" t="n"/>
      <c r="G56" s="75" t="n"/>
      <c r="H56" s="75" t="n"/>
      <c r="I56" s="75" t="n"/>
    </row>
    <row r="57" s="41">
      <c r="A57" s="75" t="n"/>
      <c r="B57" s="75" t="n"/>
      <c r="C57" s="75" t="n"/>
      <c r="D57" s="75" t="n"/>
      <c r="E57" s="75" t="n"/>
      <c r="F57" s="75" t="n"/>
      <c r="G57" s="75" t="n"/>
      <c r="H57" s="75" t="n"/>
      <c r="I57" s="75" t="n"/>
    </row>
    <row r="58" s="41">
      <c r="A58" s="75" t="n"/>
      <c r="B58" s="75" t="n"/>
      <c r="C58" s="75" t="n"/>
      <c r="D58" s="75" t="n"/>
      <c r="E58" s="75" t="n"/>
      <c r="F58" s="75" t="n"/>
      <c r="G58" s="75" t="n"/>
      <c r="H58" s="75" t="n"/>
      <c r="I58" s="75" t="n"/>
    </row>
    <row r="59" s="41">
      <c r="A59" s="75" t="n"/>
      <c r="B59" s="75" t="n"/>
      <c r="C59" s="75" t="n"/>
      <c r="D59" s="75" t="n"/>
      <c r="E59" s="75" t="n"/>
      <c r="F59" s="75" t="n"/>
      <c r="G59" s="75" t="n"/>
      <c r="H59" s="75" t="n"/>
      <c r="I59" s="75" t="n"/>
    </row>
    <row r="60" s="41">
      <c r="A60" s="75" t="n"/>
      <c r="B60" s="75" t="n"/>
      <c r="C60" s="75" t="n"/>
      <c r="D60" s="75" t="n"/>
      <c r="E60" s="75" t="n"/>
      <c r="F60" s="75" t="n"/>
      <c r="G60" s="75" t="n"/>
      <c r="H60" s="75" t="n"/>
      <c r="I60" s="75" t="n"/>
    </row>
  </sheetData>
  <conditionalFormatting sqref="E10:E47">
    <cfRule type="cellIs" rank="0" priority="2" equalAverage="0" operator="equal" aboveAverage="0" dxfId="0" text="" percent="0" bottom="0">
      <formula>"Yes"</formula>
    </cfRule>
    <cfRule type="cellIs" rank="0" priority="3" equalAverage="0" operator="equal" aboveAverage="0" dxfId="1" text="" percent="0" bottom="0">
      <formula>"Partial"</formula>
    </cfRule>
    <cfRule type="cellIs" rank="0" priority="4" equalAverage="0" operator="equal" aboveAverage="0" dxfId="2" text="" percent="0" bottom="0">
      <formula>"No"</formula>
    </cfRule>
  </conditionalFormatting>
  <dataValidations count="2">
    <dataValidation sqref="D10:D47" showDropDown="0" showInputMessage="0" showErrorMessage="0" allowBlank="1" type="list">
      <formula1>"Yes,N/A"</formula1>
    </dataValidation>
    <dataValidation sqref="E10:E47" showDropDown="0" showInputMessage="0" showErrorMessage="0" allowBlank="1" type="list">
      <formula1>"Yes,Partial,No"</formula1>
    </dataValidation>
  </dataValidations>
  <hyperlinks>
    <hyperlink xmlns:r="http://schemas.openxmlformats.org/officeDocument/2006/relationships" ref="I9" r:id="rId1"/>
    <hyperlink xmlns:r="http://schemas.openxmlformats.org/officeDocument/2006/relationships" ref="I10" r:id="rId2"/>
    <hyperlink xmlns:r="http://schemas.openxmlformats.org/officeDocument/2006/relationships" ref="C11" r:id="rId3"/>
    <hyperlink xmlns:r="http://schemas.openxmlformats.org/officeDocument/2006/relationships" ref="I11" r:id="rId4"/>
    <hyperlink xmlns:r="http://schemas.openxmlformats.org/officeDocument/2006/relationships" ref="C12" r:id="rId5"/>
    <hyperlink xmlns:r="http://schemas.openxmlformats.org/officeDocument/2006/relationships" ref="I12" r:id="rId6"/>
    <hyperlink xmlns:r="http://schemas.openxmlformats.org/officeDocument/2006/relationships" ref="C13" r:id="rId7"/>
    <hyperlink xmlns:r="http://schemas.openxmlformats.org/officeDocument/2006/relationships" ref="I13" r:id="rId8"/>
    <hyperlink xmlns:r="http://schemas.openxmlformats.org/officeDocument/2006/relationships" ref="C14" r:id="rId9"/>
    <hyperlink xmlns:r="http://schemas.openxmlformats.org/officeDocument/2006/relationships" ref="I14" r:id="rId10"/>
    <hyperlink xmlns:r="http://schemas.openxmlformats.org/officeDocument/2006/relationships" ref="C15" r:id="rId11"/>
    <hyperlink xmlns:r="http://schemas.openxmlformats.org/officeDocument/2006/relationships" ref="I15" r:id="rId12"/>
    <hyperlink xmlns:r="http://schemas.openxmlformats.org/officeDocument/2006/relationships" ref="C16" r:id="rId13"/>
    <hyperlink xmlns:r="http://schemas.openxmlformats.org/officeDocument/2006/relationships" ref="I16" r:id="rId14"/>
    <hyperlink xmlns:r="http://schemas.openxmlformats.org/officeDocument/2006/relationships" ref="I17" r:id="rId15"/>
    <hyperlink xmlns:r="http://schemas.openxmlformats.org/officeDocument/2006/relationships" ref="C18" r:id="rId16"/>
    <hyperlink xmlns:r="http://schemas.openxmlformats.org/officeDocument/2006/relationships" ref="I18" r:id="rId17"/>
    <hyperlink xmlns:r="http://schemas.openxmlformats.org/officeDocument/2006/relationships" ref="C19" r:id="rId18"/>
    <hyperlink xmlns:r="http://schemas.openxmlformats.org/officeDocument/2006/relationships" ref="I19" r:id="rId19"/>
    <hyperlink xmlns:r="http://schemas.openxmlformats.org/officeDocument/2006/relationships" ref="C20" r:id="rId20"/>
    <hyperlink xmlns:r="http://schemas.openxmlformats.org/officeDocument/2006/relationships" ref="I20" r:id="rId21"/>
    <hyperlink xmlns:r="http://schemas.openxmlformats.org/officeDocument/2006/relationships" ref="C21" r:id="rId22"/>
    <hyperlink xmlns:r="http://schemas.openxmlformats.org/officeDocument/2006/relationships" ref="I21" r:id="rId23"/>
    <hyperlink xmlns:r="http://schemas.openxmlformats.org/officeDocument/2006/relationships" ref="C22" r:id="rId24"/>
    <hyperlink xmlns:r="http://schemas.openxmlformats.org/officeDocument/2006/relationships" ref="I22" r:id="rId25"/>
    <hyperlink xmlns:r="http://schemas.openxmlformats.org/officeDocument/2006/relationships" ref="C23" r:id="rId26"/>
    <hyperlink xmlns:r="http://schemas.openxmlformats.org/officeDocument/2006/relationships" ref="I23" r:id="rId27"/>
    <hyperlink xmlns:r="http://schemas.openxmlformats.org/officeDocument/2006/relationships" ref="C24" r:id="rId28"/>
    <hyperlink xmlns:r="http://schemas.openxmlformats.org/officeDocument/2006/relationships" ref="I24" r:id="rId29"/>
    <hyperlink xmlns:r="http://schemas.openxmlformats.org/officeDocument/2006/relationships" ref="I25" r:id="rId30"/>
    <hyperlink xmlns:r="http://schemas.openxmlformats.org/officeDocument/2006/relationships" ref="C26" r:id="rId31"/>
    <hyperlink xmlns:r="http://schemas.openxmlformats.org/officeDocument/2006/relationships" ref="I26" r:id="rId32"/>
    <hyperlink xmlns:r="http://schemas.openxmlformats.org/officeDocument/2006/relationships" ref="C27" r:id="rId33"/>
    <hyperlink xmlns:r="http://schemas.openxmlformats.org/officeDocument/2006/relationships" ref="I27" r:id="rId34"/>
    <hyperlink xmlns:r="http://schemas.openxmlformats.org/officeDocument/2006/relationships" ref="C28" r:id="rId35"/>
    <hyperlink xmlns:r="http://schemas.openxmlformats.org/officeDocument/2006/relationships" ref="I28" r:id="rId36"/>
    <hyperlink xmlns:r="http://schemas.openxmlformats.org/officeDocument/2006/relationships" ref="C29" r:id="rId37"/>
    <hyperlink xmlns:r="http://schemas.openxmlformats.org/officeDocument/2006/relationships" ref="I29" r:id="rId38"/>
    <hyperlink xmlns:r="http://schemas.openxmlformats.org/officeDocument/2006/relationships" ref="I30" r:id="rId39"/>
    <hyperlink xmlns:r="http://schemas.openxmlformats.org/officeDocument/2006/relationships" ref="C31" r:id="rId40"/>
    <hyperlink xmlns:r="http://schemas.openxmlformats.org/officeDocument/2006/relationships" ref="I31" r:id="rId41"/>
    <hyperlink xmlns:r="http://schemas.openxmlformats.org/officeDocument/2006/relationships" ref="C32" r:id="rId42"/>
    <hyperlink xmlns:r="http://schemas.openxmlformats.org/officeDocument/2006/relationships" ref="I32" r:id="rId43"/>
    <hyperlink xmlns:r="http://schemas.openxmlformats.org/officeDocument/2006/relationships" ref="C33" r:id="rId44"/>
    <hyperlink xmlns:r="http://schemas.openxmlformats.org/officeDocument/2006/relationships" ref="I33" r:id="rId45"/>
    <hyperlink xmlns:r="http://schemas.openxmlformats.org/officeDocument/2006/relationships" ref="C34" r:id="rId46"/>
    <hyperlink xmlns:r="http://schemas.openxmlformats.org/officeDocument/2006/relationships" ref="I34" r:id="rId47"/>
    <hyperlink xmlns:r="http://schemas.openxmlformats.org/officeDocument/2006/relationships" ref="C35" r:id="rId48"/>
    <hyperlink xmlns:r="http://schemas.openxmlformats.org/officeDocument/2006/relationships" ref="I35" r:id="rId49"/>
    <hyperlink xmlns:r="http://schemas.openxmlformats.org/officeDocument/2006/relationships" ref="C36" r:id="rId50"/>
    <hyperlink xmlns:r="http://schemas.openxmlformats.org/officeDocument/2006/relationships" ref="I36" r:id="rId51"/>
    <hyperlink xmlns:r="http://schemas.openxmlformats.org/officeDocument/2006/relationships" ref="C37" r:id="rId52"/>
    <hyperlink xmlns:r="http://schemas.openxmlformats.org/officeDocument/2006/relationships" ref="I37" r:id="rId53"/>
    <hyperlink xmlns:r="http://schemas.openxmlformats.org/officeDocument/2006/relationships" ref="C38" r:id="rId54"/>
    <hyperlink xmlns:r="http://schemas.openxmlformats.org/officeDocument/2006/relationships" ref="I38" r:id="rId55"/>
    <hyperlink xmlns:r="http://schemas.openxmlformats.org/officeDocument/2006/relationships" ref="C39" r:id="rId56"/>
    <hyperlink xmlns:r="http://schemas.openxmlformats.org/officeDocument/2006/relationships" ref="I39" r:id="rId57"/>
    <hyperlink xmlns:r="http://schemas.openxmlformats.org/officeDocument/2006/relationships" ref="C40" r:id="rId58"/>
    <hyperlink xmlns:r="http://schemas.openxmlformats.org/officeDocument/2006/relationships" ref="I40" r:id="rId59"/>
    <hyperlink xmlns:r="http://schemas.openxmlformats.org/officeDocument/2006/relationships" ref="C41" r:id="rId60"/>
    <hyperlink xmlns:r="http://schemas.openxmlformats.org/officeDocument/2006/relationships" ref="I41" r:id="rId61"/>
    <hyperlink xmlns:r="http://schemas.openxmlformats.org/officeDocument/2006/relationships" ref="I42" r:id="rId62"/>
    <hyperlink xmlns:r="http://schemas.openxmlformats.org/officeDocument/2006/relationships" ref="C43" r:id="rId63"/>
    <hyperlink xmlns:r="http://schemas.openxmlformats.org/officeDocument/2006/relationships" ref="I43" r:id="rId64"/>
    <hyperlink xmlns:r="http://schemas.openxmlformats.org/officeDocument/2006/relationships" ref="C44" r:id="rId65"/>
    <hyperlink xmlns:r="http://schemas.openxmlformats.org/officeDocument/2006/relationships" ref="I44" r:id="rId66"/>
    <hyperlink xmlns:r="http://schemas.openxmlformats.org/officeDocument/2006/relationships" ref="I45" r:id="rId67"/>
    <hyperlink xmlns:r="http://schemas.openxmlformats.org/officeDocument/2006/relationships" ref="I46" r:id="rId68"/>
    <hyperlink xmlns:r="http://schemas.openxmlformats.org/officeDocument/2006/relationships" ref="C47" r:id="rId69"/>
    <hyperlink xmlns:r="http://schemas.openxmlformats.org/officeDocument/2006/relationships" ref="I47" r:id="rId70"/>
  </hyperlink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40" min="1" max="1"/>
    <col width="22" customWidth="1" style="40" min="2" max="2"/>
    <col width="18" customWidth="1" style="40" min="3" max="4"/>
    <col width="16" customWidth="1" style="40" min="5" max="6"/>
    <col width="12" customWidth="1" style="40" min="7" max="7"/>
    <col width="34" customWidth="1" style="40" min="8" max="8"/>
  </cols>
  <sheetData>
    <row r="1" ht="19.5" customHeight="1" s="41">
      <c r="A1" s="51" t="inlineStr">
        <is>
          <t>Worker Departures Log</t>
        </is>
      </c>
    </row>
    <row r="2" ht="30" customHeight="1" s="41">
      <c r="A2" s="50" t="inlineStr">
        <is>
          <t>Notify DOL and DHS within 2 working days of an abandonment or termination for cause (20 CFR 655.122(n)). A worker has abandoned the job after 5 consecutive working days of not reporting without your consent.</t>
        </is>
      </c>
    </row>
    <row r="3" ht="15" customHeight="1" s="41">
      <c r="A3" s="54" t="inlineStr">
        <is>
          <t>The due date skips weekends only. If a federal holiday falls in between, count one more working day.</t>
        </is>
      </c>
    </row>
    <row r="5" ht="31.5" customHeight="1" s="41">
      <c r="A5" s="63" t="inlineStr">
        <is>
          <t>Worker name</t>
        </is>
      </c>
      <c r="B5" s="63" t="inlineStr">
        <is>
          <t>Reason</t>
        </is>
      </c>
      <c r="C5" s="63" t="inlineStr">
        <is>
          <t>Abandonment or termination date</t>
        </is>
      </c>
      <c r="D5" s="63" t="inlineStr">
        <is>
          <t>Notice due (2 working days)</t>
        </is>
      </c>
      <c r="E5" s="63" t="inlineStr">
        <is>
          <t>Date DOL notified</t>
        </is>
      </c>
      <c r="F5" s="63" t="inlineStr">
        <is>
          <t>Date DHS notified</t>
        </is>
      </c>
      <c r="G5" s="63" t="inlineStr">
        <is>
          <t>On time?</t>
        </is>
      </c>
      <c r="H5" s="63" t="inlineStr">
        <is>
          <t>Notes</t>
        </is>
      </c>
    </row>
    <row r="6" ht="15" customHeight="1" s="41">
      <c r="A6" s="77" t="inlineStr">
        <is>
          <t>Example: Juan Perez</t>
        </is>
      </c>
      <c r="B6" s="77" t="inlineStr">
        <is>
          <t>Abandonment</t>
        </is>
      </c>
      <c r="C6" s="78">
        <f>DATE(2027,6,4)</f>
        <v/>
      </c>
      <c r="D6" s="79">
        <f>IF(C6="","",WORKDAY(C6,2))</f>
        <v/>
      </c>
      <c r="E6" s="78">
        <f>DATE(2027,6,7)</f>
        <v/>
      </c>
      <c r="F6" s="78">
        <f>DATE(2027,6,7)</f>
        <v/>
      </c>
      <c r="G6" s="80">
        <f>IF(OR(C6="",E6="",F6=""),"",IF(AND(E6&lt;=D6,F6&lt;=D6),"Yes","Late"))</f>
        <v/>
      </c>
      <c r="H6" s="77" t="inlineStr">
        <is>
          <t>Sent through FLAG and email to USCIS</t>
        </is>
      </c>
    </row>
    <row r="7" ht="15" customHeight="1" s="41">
      <c r="A7" s="81" t="n"/>
      <c r="B7" s="81" t="n"/>
      <c r="C7" s="82" t="n"/>
      <c r="D7" s="83">
        <f>IF(C7="","",WORKDAY(C7,2))</f>
        <v/>
      </c>
      <c r="E7" s="82" t="n"/>
      <c r="F7" s="82" t="n"/>
      <c r="G7" s="84">
        <f>IF(OR(C7="",E7="",F7=""),"",IF(AND(E7&lt;=D7,F7&lt;=D7),"Yes","Late"))</f>
        <v/>
      </c>
      <c r="H7" s="81" t="n"/>
    </row>
    <row r="8" ht="15" customHeight="1" s="41">
      <c r="A8" s="81" t="n"/>
      <c r="B8" s="81" t="n"/>
      <c r="C8" s="82" t="n"/>
      <c r="D8" s="83">
        <f>IF(C8="","",WORKDAY(C8,2))</f>
        <v/>
      </c>
      <c r="E8" s="82" t="n"/>
      <c r="F8" s="82" t="n"/>
      <c r="G8" s="84">
        <f>IF(OR(C8="",E8="",F8=""),"",IF(AND(E8&lt;=D8,F8&lt;=D8),"Yes","Late"))</f>
        <v/>
      </c>
      <c r="H8" s="81" t="n"/>
    </row>
    <row r="9" ht="15" customHeight="1" s="41">
      <c r="A9" s="81" t="n"/>
      <c r="B9" s="81" t="n"/>
      <c r="C9" s="82" t="n"/>
      <c r="D9" s="83">
        <f>IF(C9="","",WORKDAY(C9,2))</f>
        <v/>
      </c>
      <c r="E9" s="82" t="n"/>
      <c r="F9" s="82" t="n"/>
      <c r="G9" s="84">
        <f>IF(OR(C9="",E9="",F9=""),"",IF(AND(E9&lt;=D9,F9&lt;=D9),"Yes","Late"))</f>
        <v/>
      </c>
      <c r="H9" s="81" t="n"/>
    </row>
    <row r="10" ht="15" customHeight="1" s="41">
      <c r="A10" s="81" t="n"/>
      <c r="B10" s="81" t="n"/>
      <c r="C10" s="82" t="n"/>
      <c r="D10" s="83">
        <f>IF(C10="","",WORKDAY(C10,2))</f>
        <v/>
      </c>
      <c r="E10" s="82" t="n"/>
      <c r="F10" s="82" t="n"/>
      <c r="G10" s="84">
        <f>IF(OR(C10="",E10="",F10=""),"",IF(AND(E10&lt;=D10,F10&lt;=D10),"Yes","Late"))</f>
        <v/>
      </c>
      <c r="H10" s="81" t="n"/>
    </row>
    <row r="11" ht="15" customHeight="1" s="41">
      <c r="A11" s="81" t="n"/>
      <c r="B11" s="81" t="n"/>
      <c r="C11" s="82" t="n"/>
      <c r="D11" s="83">
        <f>IF(C11="","",WORKDAY(C11,2))</f>
        <v/>
      </c>
      <c r="E11" s="82" t="n"/>
      <c r="F11" s="82" t="n"/>
      <c r="G11" s="84">
        <f>IF(OR(C11="",E11="",F11=""),"",IF(AND(E11&lt;=D11,F11&lt;=D11),"Yes","Late"))</f>
        <v/>
      </c>
      <c r="H11" s="81" t="n"/>
    </row>
    <row r="12" ht="15" customHeight="1" s="41">
      <c r="A12" s="81" t="n"/>
      <c r="B12" s="81" t="n"/>
      <c r="C12" s="82" t="n"/>
      <c r="D12" s="83">
        <f>IF(C12="","",WORKDAY(C12,2))</f>
        <v/>
      </c>
      <c r="E12" s="82" t="n"/>
      <c r="F12" s="82" t="n"/>
      <c r="G12" s="84">
        <f>IF(OR(C12="",E12="",F12=""),"",IF(AND(E12&lt;=D12,F12&lt;=D12),"Yes","Late"))</f>
        <v/>
      </c>
      <c r="H12" s="81" t="n"/>
    </row>
    <row r="13" ht="15" customHeight="1" s="41">
      <c r="A13" s="81" t="n"/>
      <c r="B13" s="81" t="n"/>
      <c r="C13" s="82" t="n"/>
      <c r="D13" s="83">
        <f>IF(C13="","",WORKDAY(C13,2))</f>
        <v/>
      </c>
      <c r="E13" s="82" t="n"/>
      <c r="F13" s="82" t="n"/>
      <c r="G13" s="84">
        <f>IF(OR(C13="",E13="",F13=""),"",IF(AND(E13&lt;=D13,F13&lt;=D13),"Yes","Late"))</f>
        <v/>
      </c>
      <c r="H13" s="81" t="n"/>
    </row>
    <row r="14" ht="15" customHeight="1" s="41">
      <c r="A14" s="81" t="n"/>
      <c r="B14" s="81" t="n"/>
      <c r="C14" s="82" t="n"/>
      <c r="D14" s="83">
        <f>IF(C14="","",WORKDAY(C14,2))</f>
        <v/>
      </c>
      <c r="E14" s="82" t="n"/>
      <c r="F14" s="82" t="n"/>
      <c r="G14" s="84">
        <f>IF(OR(C14="",E14="",F14=""),"",IF(AND(E14&lt;=D14,F14&lt;=D14),"Yes","Late"))</f>
        <v/>
      </c>
      <c r="H14" s="81" t="n"/>
    </row>
    <row r="15" ht="15" customHeight="1" s="41">
      <c r="A15" s="81" t="n"/>
      <c r="B15" s="81" t="n"/>
      <c r="C15" s="82" t="n"/>
      <c r="D15" s="83">
        <f>IF(C15="","",WORKDAY(C15,2))</f>
        <v/>
      </c>
      <c r="E15" s="82" t="n"/>
      <c r="F15" s="82" t="n"/>
      <c r="G15" s="84">
        <f>IF(OR(C15="",E15="",F15=""),"",IF(AND(E15&lt;=D15,F15&lt;=D15),"Yes","Late"))</f>
        <v/>
      </c>
      <c r="H15" s="81" t="n"/>
    </row>
    <row r="16" ht="15" customHeight="1" s="41">
      <c r="A16" s="81" t="n"/>
      <c r="B16" s="81" t="n"/>
      <c r="C16" s="82" t="n"/>
      <c r="D16" s="83">
        <f>IF(C16="","",WORKDAY(C16,2))</f>
        <v/>
      </c>
      <c r="E16" s="82" t="n"/>
      <c r="F16" s="82" t="n"/>
      <c r="G16" s="84">
        <f>IF(OR(C16="",E16="",F16=""),"",IF(AND(E16&lt;=D16,F16&lt;=D16),"Yes","Late"))</f>
        <v/>
      </c>
      <c r="H16" s="81" t="n"/>
    </row>
    <row r="17" ht="15" customHeight="1" s="41">
      <c r="A17" s="81" t="n"/>
      <c r="B17" s="81" t="n"/>
      <c r="C17" s="82" t="n"/>
      <c r="D17" s="83">
        <f>IF(C17="","",WORKDAY(C17,2))</f>
        <v/>
      </c>
      <c r="E17" s="82" t="n"/>
      <c r="F17" s="82" t="n"/>
      <c r="G17" s="84">
        <f>IF(OR(C17="",E17="",F17=""),"",IF(AND(E17&lt;=D17,F17&lt;=D17),"Yes","Late"))</f>
        <v/>
      </c>
      <c r="H17" s="81" t="n"/>
    </row>
    <row r="18" ht="15" customHeight="1" s="41">
      <c r="A18" s="81" t="n"/>
      <c r="B18" s="81" t="n"/>
      <c r="C18" s="82" t="n"/>
      <c r="D18" s="83">
        <f>IF(C18="","",WORKDAY(C18,2))</f>
        <v/>
      </c>
      <c r="E18" s="82" t="n"/>
      <c r="F18" s="82" t="n"/>
      <c r="G18" s="84">
        <f>IF(OR(C18="",E18="",F18=""),"",IF(AND(E18&lt;=D18,F18&lt;=D18),"Yes","Late"))</f>
        <v/>
      </c>
      <c r="H18" s="81" t="n"/>
    </row>
    <row r="19" ht="15" customHeight="1" s="41">
      <c r="A19" s="81" t="n"/>
      <c r="B19" s="81" t="n"/>
      <c r="C19" s="82" t="n"/>
      <c r="D19" s="83">
        <f>IF(C19="","",WORKDAY(C19,2))</f>
        <v/>
      </c>
      <c r="E19" s="82" t="n"/>
      <c r="F19" s="82" t="n"/>
      <c r="G19" s="84">
        <f>IF(OR(C19="",E19="",F19=""),"",IF(AND(E19&lt;=D19,F19&lt;=D19),"Yes","Late"))</f>
        <v/>
      </c>
      <c r="H19" s="81" t="n"/>
    </row>
    <row r="20" ht="15" customHeight="1" s="41">
      <c r="A20" s="81" t="n"/>
      <c r="B20" s="81" t="n"/>
      <c r="C20" s="82" t="n"/>
      <c r="D20" s="83">
        <f>IF(C20="","",WORKDAY(C20,2))</f>
        <v/>
      </c>
      <c r="E20" s="82" t="n"/>
      <c r="F20" s="82" t="n"/>
      <c r="G20" s="84">
        <f>IF(OR(C20="",E20="",F20=""),"",IF(AND(E20&lt;=D20,F20&lt;=D20),"Yes","Late"))</f>
        <v/>
      </c>
      <c r="H20" s="81" t="n"/>
    </row>
    <row r="21" ht="15" customHeight="1" s="41">
      <c r="A21" s="81" t="n"/>
      <c r="B21" s="81" t="n"/>
      <c r="C21" s="82" t="n"/>
      <c r="D21" s="83">
        <f>IF(C21="","",WORKDAY(C21,2))</f>
        <v/>
      </c>
      <c r="E21" s="82" t="n"/>
      <c r="F21" s="82" t="n"/>
      <c r="G21" s="84">
        <f>IF(OR(C21="",E21="",F21=""),"",IF(AND(E21&lt;=D21,F21&lt;=D21),"Yes","Late"))</f>
        <v/>
      </c>
      <c r="H21" s="81" t="n"/>
    </row>
    <row r="22" ht="15" customHeight="1" s="41">
      <c r="A22" s="81" t="n"/>
      <c r="B22" s="81" t="n"/>
      <c r="C22" s="82" t="n"/>
      <c r="D22" s="83">
        <f>IF(C22="","",WORKDAY(C22,2))</f>
        <v/>
      </c>
      <c r="E22" s="82" t="n"/>
      <c r="F22" s="82" t="n"/>
      <c r="G22" s="84">
        <f>IF(OR(C22="",E22="",F22=""),"",IF(AND(E22&lt;=D22,F22&lt;=D22),"Yes","Late"))</f>
        <v/>
      </c>
      <c r="H22" s="81" t="n"/>
    </row>
    <row r="23" ht="15" customHeight="1" s="41">
      <c r="A23" s="81" t="n"/>
      <c r="B23" s="81" t="n"/>
      <c r="C23" s="82" t="n"/>
      <c r="D23" s="83">
        <f>IF(C23="","",WORKDAY(C23,2))</f>
        <v/>
      </c>
      <c r="E23" s="82" t="n"/>
      <c r="F23" s="82" t="n"/>
      <c r="G23" s="84">
        <f>IF(OR(C23="",E23="",F23=""),"",IF(AND(E23&lt;=D23,F23&lt;=D23),"Yes","Late"))</f>
        <v/>
      </c>
      <c r="H23" s="81" t="n"/>
    </row>
    <row r="24" ht="15" customHeight="1" s="41">
      <c r="A24" s="81" t="n"/>
      <c r="B24" s="81" t="n"/>
      <c r="C24" s="82" t="n"/>
      <c r="D24" s="83">
        <f>IF(C24="","",WORKDAY(C24,2))</f>
        <v/>
      </c>
      <c r="E24" s="82" t="n"/>
      <c r="F24" s="82" t="n"/>
      <c r="G24" s="84">
        <f>IF(OR(C24="",E24="",F24=""),"",IF(AND(E24&lt;=D24,F24&lt;=D24),"Yes","Late"))</f>
        <v/>
      </c>
      <c r="H24" s="81" t="n"/>
    </row>
    <row r="25" ht="15" customHeight="1" s="41">
      <c r="A25" s="81" t="n"/>
      <c r="B25" s="81" t="n"/>
      <c r="C25" s="82" t="n"/>
      <c r="D25" s="83">
        <f>IF(C25="","",WORKDAY(C25,2))</f>
        <v/>
      </c>
      <c r="E25" s="82" t="n"/>
      <c r="F25" s="82" t="n"/>
      <c r="G25" s="84">
        <f>IF(OR(C25="",E25="",F25=""),"",IF(AND(E25&lt;=D25,F25&lt;=D25),"Yes","Late"))</f>
        <v/>
      </c>
      <c r="H25" s="81" t="n"/>
    </row>
    <row r="26" ht="15" customHeight="1" s="41">
      <c r="A26" s="81" t="n"/>
      <c r="B26" s="81" t="n"/>
      <c r="C26" s="82" t="n"/>
      <c r="D26" s="83">
        <f>IF(C26="","",WORKDAY(C26,2))</f>
        <v/>
      </c>
      <c r="E26" s="82" t="n"/>
      <c r="F26" s="82" t="n"/>
      <c r="G26" s="84">
        <f>IF(OR(C26="",E26="",F26=""),"",IF(AND(E26&lt;=D26,F26&lt;=D26),"Yes","Late"))</f>
        <v/>
      </c>
      <c r="H26" s="81" t="n"/>
    </row>
    <row r="27" ht="15" customHeight="1" s="41">
      <c r="A27" s="81" t="n"/>
      <c r="B27" s="81" t="n"/>
      <c r="C27" s="82" t="n"/>
      <c r="D27" s="83">
        <f>IF(C27="","",WORKDAY(C27,2))</f>
        <v/>
      </c>
      <c r="E27" s="82" t="n"/>
      <c r="F27" s="82" t="n"/>
      <c r="G27" s="84">
        <f>IF(OR(C27="",E27="",F27=""),"",IF(AND(E27&lt;=D27,F27&lt;=D27),"Yes","Late"))</f>
        <v/>
      </c>
      <c r="H27" s="81" t="n"/>
    </row>
    <row r="28" ht="15" customHeight="1" s="41">
      <c r="A28" s="81" t="n"/>
      <c r="B28" s="81" t="n"/>
      <c r="C28" s="82" t="n"/>
      <c r="D28" s="83">
        <f>IF(C28="","",WORKDAY(C28,2))</f>
        <v/>
      </c>
      <c r="E28" s="82" t="n"/>
      <c r="F28" s="82" t="n"/>
      <c r="G28" s="84">
        <f>IF(OR(C28="",E28="",F28=""),"",IF(AND(E28&lt;=D28,F28&lt;=D28),"Yes","Late"))</f>
        <v/>
      </c>
      <c r="H28" s="81" t="n"/>
    </row>
    <row r="29" ht="15" customHeight="1" s="41">
      <c r="A29" s="81" t="n"/>
      <c r="B29" s="81" t="n"/>
      <c r="C29" s="82" t="n"/>
      <c r="D29" s="83">
        <f>IF(C29="","",WORKDAY(C29,2))</f>
        <v/>
      </c>
      <c r="E29" s="82" t="n"/>
      <c r="F29" s="82" t="n"/>
      <c r="G29" s="84">
        <f>IF(OR(C29="",E29="",F29=""),"",IF(AND(E29&lt;=D29,F29&lt;=D29),"Yes","Late"))</f>
        <v/>
      </c>
      <c r="H29" s="81" t="n"/>
    </row>
    <row r="30" ht="15" customHeight="1" s="41">
      <c r="A30" s="81" t="n"/>
      <c r="B30" s="81" t="n"/>
      <c r="C30" s="82" t="n"/>
      <c r="D30" s="83">
        <f>IF(C30="","",WORKDAY(C30,2))</f>
        <v/>
      </c>
      <c r="E30" s="82" t="n"/>
      <c r="F30" s="82" t="n"/>
      <c r="G30" s="84">
        <f>IF(OR(C30="",E30="",F30=""),"",IF(AND(E30&lt;=D30,F30&lt;=D30),"Yes","Late"))</f>
        <v/>
      </c>
      <c r="H30" s="81" t="n"/>
    </row>
    <row r="31" ht="15" customHeight="1" s="41">
      <c r="A31" s="81" t="n"/>
      <c r="B31" s="81" t="n"/>
      <c r="C31" s="82" t="n"/>
      <c r="D31" s="83">
        <f>IF(C31="","",WORKDAY(C31,2))</f>
        <v/>
      </c>
      <c r="E31" s="82" t="n"/>
      <c r="F31" s="82" t="n"/>
      <c r="G31" s="84">
        <f>IF(OR(C31="",E31="",F31=""),"",IF(AND(E31&lt;=D31,F31&lt;=D31),"Yes","Late"))</f>
        <v/>
      </c>
      <c r="H31" s="81" t="n"/>
    </row>
    <row r="32" ht="15" customHeight="1" s="41">
      <c r="A32" s="81" t="n"/>
      <c r="B32" s="81" t="n"/>
      <c r="C32" s="82" t="n"/>
      <c r="D32" s="83">
        <f>IF(C32="","",WORKDAY(C32,2))</f>
        <v/>
      </c>
      <c r="E32" s="82" t="n"/>
      <c r="F32" s="82" t="n"/>
      <c r="G32" s="84">
        <f>IF(OR(C32="",E32="",F32=""),"",IF(AND(E32&lt;=D32,F32&lt;=D32),"Yes","Late"))</f>
        <v/>
      </c>
      <c r="H32" s="81" t="n"/>
    </row>
    <row r="33" ht="15" customHeight="1" s="41">
      <c r="A33" s="81" t="n"/>
      <c r="B33" s="81" t="n"/>
      <c r="C33" s="82" t="n"/>
      <c r="D33" s="83">
        <f>IF(C33="","",WORKDAY(C33,2))</f>
        <v/>
      </c>
      <c r="E33" s="82" t="n"/>
      <c r="F33" s="82" t="n"/>
      <c r="G33" s="84">
        <f>IF(OR(C33="",E33="",F33=""),"",IF(AND(E33&lt;=D33,F33&lt;=D33),"Yes","Late"))</f>
        <v/>
      </c>
      <c r="H33" s="81" t="n"/>
    </row>
    <row r="34" ht="15" customHeight="1" s="41">
      <c r="A34" s="81" t="n"/>
      <c r="B34" s="81" t="n"/>
      <c r="C34" s="82" t="n"/>
      <c r="D34" s="83">
        <f>IF(C34="","",WORKDAY(C34,2))</f>
        <v/>
      </c>
      <c r="E34" s="82" t="n"/>
      <c r="F34" s="82" t="n"/>
      <c r="G34" s="84">
        <f>IF(OR(C34="",E34="",F34=""),"",IF(AND(E34&lt;=D34,F34&lt;=D34),"Yes","Late"))</f>
        <v/>
      </c>
      <c r="H34" s="81" t="n"/>
    </row>
    <row r="35" ht="15" customHeight="1" s="41">
      <c r="A35" s="81" t="n"/>
      <c r="B35" s="81" t="n"/>
      <c r="C35" s="82" t="n"/>
      <c r="D35" s="83">
        <f>IF(C35="","",WORKDAY(C35,2))</f>
        <v/>
      </c>
      <c r="E35" s="82" t="n"/>
      <c r="F35" s="82" t="n"/>
      <c r="G35" s="84">
        <f>IF(OR(C35="",E35="",F35=""),"",IF(AND(E35&lt;=D35,F35&lt;=D35),"Yes","Late"))</f>
        <v/>
      </c>
      <c r="H35" s="81" t="n"/>
    </row>
  </sheetData>
  <mergeCells count="2">
    <mergeCell ref="A3:H3"/>
    <mergeCell ref="A2:H2"/>
  </mergeCells>
  <conditionalFormatting sqref="G6:G35">
    <cfRule type="cellIs" rank="0" priority="2" equalAverage="0" operator="equal" aboveAverage="0" dxfId="2" text="" percent="0" bottom="0">
      <formula>"Late"</formula>
    </cfRule>
    <cfRule type="cellIs" rank="0" priority="3" equalAverage="0" operator="equal" aboveAverage="0" dxfId="0" text="" percent="0" bottom="0">
      <formula>"Yes"</formula>
    </cfRule>
  </conditionalFormatting>
  <dataValidations count="1">
    <dataValidation sqref="B6:B35" showDropDown="0" showInputMessage="0" showErrorMessage="0" allowBlank="1" type="list" errorStyle="stop" operator="between">
      <formula1>"Abandonment,Termination for cause,Transfer to new employer,Contract ended early,Other"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30" customWidth="1" style="41" min="1" max="1"/>
    <col width="52" customWidth="1" style="41" min="2" max="2"/>
    <col width="62" customWidth="1" style="41" min="3" max="3"/>
  </cols>
  <sheetData>
    <row r="1">
      <c r="A1" s="85" t="inlineStr">
        <is>
          <t>Where to find more help</t>
        </is>
      </c>
    </row>
    <row r="2">
      <c r="A2" s="86" t="inlineStr">
        <is>
          <t>Plain-English guides from Battenkill Ag, plus the official government sources behind them. Click any link.</t>
        </is>
      </c>
    </row>
    <row r="4">
      <c r="A4" s="63" t="inlineStr">
        <is>
          <t>Topic</t>
        </is>
      </c>
      <c r="B4" s="63" t="inlineStr">
        <is>
          <t>Battenkill Ag guide</t>
        </is>
      </c>
      <c r="C4" s="63" t="inlineStr">
        <is>
          <t>Official source</t>
        </is>
      </c>
    </row>
    <row r="5">
      <c r="A5" s="68" t="inlineStr">
        <is>
          <t>Start here</t>
        </is>
      </c>
      <c r="B5" s="68" t="n"/>
      <c r="C5" s="68" t="n"/>
    </row>
    <row r="6" ht="30" customHeight="1" s="41">
      <c r="A6" s="87" t="inlineStr">
        <is>
          <t>Audit preparation (this checklist)</t>
        </is>
      </c>
      <c r="B6" s="88" t="inlineStr">
        <is>
          <t>Preparing for an audit (battenkillag.com)</t>
        </is>
      </c>
      <c r="C6" s="89" t="inlineStr">
        <is>
          <t>DOL Wage and Hour H-2A compliance review checklist</t>
        </is>
      </c>
    </row>
    <row r="7" ht="30" customHeight="1" s="41">
      <c r="A7" s="87" t="inlineStr">
        <is>
          <t>H-2A terms explained</t>
        </is>
      </c>
      <c r="B7" s="88" t="inlineStr">
        <is>
          <t>H-2A glossary (battenkillag.com)</t>
        </is>
      </c>
      <c r="C7" s="89" t="inlineStr">
        <is>
          <t>WHD Fact Sheet #26: H-2A program overview</t>
        </is>
      </c>
    </row>
    <row r="8" ht="30" customHeight="1" s="41">
      <c r="A8" s="87" t="inlineStr">
        <is>
          <t>Full H-2A rules</t>
        </is>
      </c>
      <c r="B8" s="87" t="n"/>
      <c r="C8" s="89" t="inlineStr">
        <is>
          <t>H-2A regulations: 20 CFR Part 655, Subpart B (eCFR)</t>
        </is>
      </c>
    </row>
    <row r="9">
      <c r="A9" s="68" t="inlineStr">
        <is>
          <t>Housing</t>
        </is>
      </c>
      <c r="B9" s="68" t="n"/>
      <c r="C9" s="68" t="n"/>
    </row>
    <row r="10" ht="30" customHeight="1" s="41">
      <c r="A10" s="87" t="inlineStr">
        <is>
          <t>Housing standards and inspections</t>
        </is>
      </c>
      <c r="B10" s="88" t="inlineStr">
        <is>
          <t>Housing requirements (battenkillag.com)</t>
        </is>
      </c>
      <c r="C10" s="89" t="inlineStr">
        <is>
          <t>H-2A housing rule: 20 CFR 655.122(d)</t>
        </is>
      </c>
    </row>
    <row r="11" ht="30" customHeight="1" s="41">
      <c r="A11" s="87" t="inlineStr">
        <is>
          <t>Temporary labor camp standards</t>
        </is>
      </c>
      <c r="B11" s="88" t="inlineStr">
        <is>
          <t>Housing requirements (battenkillag.com)</t>
        </is>
      </c>
      <c r="C11" s="89" t="inlineStr">
        <is>
          <t>OSHA 29 CFR 1910.142: temporary labor camps</t>
        </is>
      </c>
    </row>
    <row r="12" ht="30" customHeight="1" s="41">
      <c r="A12" s="87" t="inlineStr">
        <is>
          <t>Field sanitation</t>
        </is>
      </c>
      <c r="B12" s="88" t="inlineStr">
        <is>
          <t>Housing requirements (battenkillag.com)</t>
        </is>
      </c>
      <c r="C12" s="89" t="inlineStr">
        <is>
          <t>OSHA 29 CFR 1928.110: field sanitation</t>
        </is>
      </c>
    </row>
    <row r="13" ht="30" customHeight="1" s="41">
      <c r="A13" s="87" t="inlineStr">
        <is>
          <t>New York housing inspections</t>
        </is>
      </c>
      <c r="B13" s="87" t="n"/>
      <c r="C13" s="89" t="inlineStr">
        <is>
          <t>NYS DOL: H-2A employers and agents</t>
        </is>
      </c>
    </row>
    <row r="14">
      <c r="A14" s="68" t="inlineStr">
        <is>
          <t>Recruitment</t>
        </is>
      </c>
      <c r="B14" s="68" t="n"/>
      <c r="C14" s="68" t="n"/>
    </row>
    <row r="15" ht="30" customHeight="1" s="41">
      <c r="A15" s="87" t="inlineStr">
        <is>
          <t>Hiring U.S. workers and the 50% rule</t>
        </is>
      </c>
      <c r="B15" s="88" t="inlineStr">
        <is>
          <t>Hiring U.S. workers (battenkillag.com)</t>
        </is>
      </c>
      <c r="C15" s="89" t="inlineStr">
        <is>
          <t>H-2A recruitment rules: 20 CFR 655.150-.158</t>
        </is>
      </c>
    </row>
    <row r="16">
      <c r="A16" s="68" t="inlineStr">
        <is>
          <t>Wages and pay</t>
        </is>
      </c>
      <c r="B16" s="68" t="n"/>
      <c r="C16" s="68" t="n"/>
    </row>
    <row r="17" ht="30" customHeight="1" s="41">
      <c r="A17" s="87" t="inlineStr">
        <is>
          <t>Current wage rates (AEWR)</t>
        </is>
      </c>
      <c r="B17" s="88" t="inlineStr">
        <is>
          <t>AEWR explained (battenkillag.com)</t>
        </is>
      </c>
      <c r="C17" s="89" t="inlineStr">
        <is>
          <t>DOL FLAG: H-2A Adverse Effect Wage Rates</t>
        </is>
      </c>
    </row>
    <row r="18" ht="30" customHeight="1" s="41">
      <c r="A18" s="87" t="inlineStr">
        <is>
          <t>Pay statements and payroll records</t>
        </is>
      </c>
      <c r="B18" s="88" t="inlineStr">
        <is>
          <t>Pay records checklist (battenkillag.com)</t>
        </is>
      </c>
      <c r="C18" s="89" t="inlineStr">
        <is>
          <t>Pay and records rules: 20 CFR 655.122(j)-(k)</t>
        </is>
      </c>
    </row>
    <row r="19" ht="30" customHeight="1" s="41">
      <c r="A19" s="87" t="inlineStr">
        <is>
          <t>Three-fourths guarantee</t>
        </is>
      </c>
      <c r="B19" s="88" t="inlineStr">
        <is>
          <t>Three-fourths guarantee (battenkillag.com)</t>
        </is>
      </c>
      <c r="C19" s="89" t="inlineStr">
        <is>
          <t>Guarantee rule: 20 CFR 655.122(i)</t>
        </is>
      </c>
    </row>
    <row r="20">
      <c r="A20" s="68" t="inlineStr">
        <is>
          <t>Travel and notices</t>
        </is>
      </c>
      <c r="B20" s="68" t="n"/>
      <c r="C20" s="68" t="n"/>
    </row>
    <row r="21" ht="30" customHeight="1" s="41">
      <c r="A21" s="87" t="inlineStr">
        <is>
          <t>Travel and daily subsistence</t>
        </is>
      </c>
      <c r="B21" s="88" t="inlineStr">
        <is>
          <t>Travel reimbursement (battenkillag.com)</t>
        </is>
      </c>
      <c r="C21" s="89" t="inlineStr">
        <is>
          <t>Transportation rule: 20 CFR 655.122(h)</t>
        </is>
      </c>
    </row>
    <row r="22" ht="30" customHeight="1" s="41">
      <c r="A22" s="87" t="inlineStr">
        <is>
          <t>Worker rights poster to display</t>
        </is>
      </c>
      <c r="B22" s="87" t="n"/>
      <c r="C22" s="89" t="inlineStr">
        <is>
          <t>WHD-1491: Employee Rights Under the H-2A Program (poster)</t>
        </is>
      </c>
    </row>
    <row r="23" ht="30" customHeight="1" s="41">
      <c r="A23" s="87" t="inlineStr">
        <is>
          <t>Job order disclosure to workers</t>
        </is>
      </c>
      <c r="B23" s="87" t="n"/>
      <c r="C23" s="89" t="inlineStr">
        <is>
          <t>WHD Fact Sheet #26B: disclosure of the job order</t>
        </is>
      </c>
    </row>
    <row r="24">
      <c r="A24" s="68" t="inlineStr">
        <is>
          <t>When a worker leaves</t>
        </is>
      </c>
      <c r="B24" s="68" t="n"/>
      <c r="C24" s="68" t="n"/>
    </row>
    <row r="25" ht="30" customHeight="1" s="41">
      <c r="A25" s="87" t="inlineStr">
        <is>
          <t>Abandonment, firing and transfers</t>
        </is>
      </c>
      <c r="B25" s="88" t="inlineStr">
        <is>
          <t>When a worker leaves (battenkillag.com)</t>
        </is>
      </c>
      <c r="C25" s="89" t="inlineStr">
        <is>
          <t>Notice rule: 20 CFR 655.122(n)</t>
        </is>
      </c>
    </row>
    <row r="26">
      <c r="A26" s="68" t="inlineStr">
        <is>
          <t>Filing and timing</t>
        </is>
      </c>
      <c r="B26" s="68" t="n"/>
      <c r="C26" s="68" t="n"/>
    </row>
    <row r="27" ht="30" customHeight="1" s="41">
      <c r="A27" s="87" t="inlineStr">
        <is>
          <t>When to file for your season</t>
        </is>
      </c>
      <c r="B27" s="88" t="inlineStr">
        <is>
          <t>H-2A timeline (battenkillag.com)</t>
        </is>
      </c>
      <c r="C27" s="89" t="inlineStr">
        <is>
          <t>DOL FLAG system (where applications are filed)</t>
        </is>
      </c>
    </row>
    <row r="29">
      <c r="A29" s="92" t="inlineStr">
        <is>
          <t>Questions? Battenkill Ag Services  |  512-540-4533  |  max@battenkillag.com  |  www.battenkillag.com</t>
        </is>
      </c>
    </row>
  </sheetData>
  <hyperlinks>
    <hyperlink xmlns:r="http://schemas.openxmlformats.org/officeDocument/2006/relationships" ref="B6" r:id="rId1"/>
    <hyperlink xmlns:r="http://schemas.openxmlformats.org/officeDocument/2006/relationships" ref="C6" r:id="rId2"/>
    <hyperlink xmlns:r="http://schemas.openxmlformats.org/officeDocument/2006/relationships" ref="B7" r:id="rId3"/>
    <hyperlink xmlns:r="http://schemas.openxmlformats.org/officeDocument/2006/relationships" ref="C7" r:id="rId4"/>
    <hyperlink xmlns:r="http://schemas.openxmlformats.org/officeDocument/2006/relationships" ref="C8" r:id="rId5"/>
    <hyperlink xmlns:r="http://schemas.openxmlformats.org/officeDocument/2006/relationships" ref="B10" r:id="rId6"/>
    <hyperlink xmlns:r="http://schemas.openxmlformats.org/officeDocument/2006/relationships" ref="C10" r:id="rId7"/>
    <hyperlink xmlns:r="http://schemas.openxmlformats.org/officeDocument/2006/relationships" ref="B11" r:id="rId8"/>
    <hyperlink xmlns:r="http://schemas.openxmlformats.org/officeDocument/2006/relationships" ref="C11" r:id="rId9"/>
    <hyperlink xmlns:r="http://schemas.openxmlformats.org/officeDocument/2006/relationships" ref="B12" r:id="rId10"/>
    <hyperlink xmlns:r="http://schemas.openxmlformats.org/officeDocument/2006/relationships" ref="C12" r:id="rId11"/>
    <hyperlink xmlns:r="http://schemas.openxmlformats.org/officeDocument/2006/relationships" ref="C13" r:id="rId12"/>
    <hyperlink xmlns:r="http://schemas.openxmlformats.org/officeDocument/2006/relationships" ref="B15" r:id="rId13"/>
    <hyperlink xmlns:r="http://schemas.openxmlformats.org/officeDocument/2006/relationships" ref="C15" r:id="rId14"/>
    <hyperlink xmlns:r="http://schemas.openxmlformats.org/officeDocument/2006/relationships" ref="B17" r:id="rId15"/>
    <hyperlink xmlns:r="http://schemas.openxmlformats.org/officeDocument/2006/relationships" ref="C17" r:id="rId16"/>
    <hyperlink xmlns:r="http://schemas.openxmlformats.org/officeDocument/2006/relationships" ref="B18" r:id="rId17"/>
    <hyperlink xmlns:r="http://schemas.openxmlformats.org/officeDocument/2006/relationships" ref="C18" r:id="rId18"/>
    <hyperlink xmlns:r="http://schemas.openxmlformats.org/officeDocument/2006/relationships" ref="B19" r:id="rId19"/>
    <hyperlink xmlns:r="http://schemas.openxmlformats.org/officeDocument/2006/relationships" ref="C19" r:id="rId20"/>
    <hyperlink xmlns:r="http://schemas.openxmlformats.org/officeDocument/2006/relationships" ref="B21" r:id="rId21"/>
    <hyperlink xmlns:r="http://schemas.openxmlformats.org/officeDocument/2006/relationships" ref="C21" r:id="rId22"/>
    <hyperlink xmlns:r="http://schemas.openxmlformats.org/officeDocument/2006/relationships" ref="C22" r:id="rId23"/>
    <hyperlink xmlns:r="http://schemas.openxmlformats.org/officeDocument/2006/relationships" ref="C23" r:id="rId24"/>
    <hyperlink xmlns:r="http://schemas.openxmlformats.org/officeDocument/2006/relationships" ref="B25" r:id="rId25"/>
    <hyperlink xmlns:r="http://schemas.openxmlformats.org/officeDocument/2006/relationships" ref="C25" r:id="rId26"/>
    <hyperlink xmlns:r="http://schemas.openxmlformats.org/officeDocument/2006/relationships" ref="B27" r:id="rId27"/>
    <hyperlink xmlns:r="http://schemas.openxmlformats.org/officeDocument/2006/relationships" ref="C27"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2026-10-14T13:49:41Z</dcterms:created>
  <dcterms:modified xmlns:dcterms="http://purl.org/dc/terms/" xmlns:xsi="http://www.w3.org/2001/XMLSchema-instance" xsi:type="dcterms:W3CDTF">2026-10-29T18:06:38Z</dcterms:modified>
  <cp:revision>0</cp:revision>
</cp:coreProperties>
</file>