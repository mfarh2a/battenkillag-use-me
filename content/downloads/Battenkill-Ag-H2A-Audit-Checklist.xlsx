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eason Info" sheetId="2" state="visible" r:id="rId4"/>
    <sheet name="Audit Checklist" sheetId="3" state="visible" r:id="rId5"/>
    <sheet name="Worker Departures" sheetId="4" state="visible" r:id="rId6"/>
  </sheets>
  <definedNames>
    <definedName function="false" hidden="false" localSheetId="2" name="_xlnm.Print_Titles" vbProcedure="false">'Audit Checklist'!$8:$8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<sst xmlns="http://schemas.openxmlformats.org/spreadsheetml/2006/main" count="127" uniqueCount="115">
  <si>
    <t xml:space="preserve">Battenkill Ag H-2A Audit-Ready Checklist</t>
  </si>
  <si>
    <t xml:space="preserve">Free template from Battenkill Ag. Keep every record DOL can ask for in one place, season after season.</t>
  </si>
  <si>
    <t xml:space="preserve">How to use this workbook</t>
  </si>
  <si>
    <t xml:space="preserve">1. Fill in the Season Info tab once per season (farm name, case number, certification date).</t>
  </si>
  <si>
    <t xml:space="preserve">2. On the Audit Checklist tab, mark whether each record applies to your farm and whether you have it. The progress box at the top updates on its own.</t>
  </si>
  <si>
    <t xml:space="preserve">3. Write where each record is kept (binder, folder, payroll system) so anyone on your team can find it fast.</t>
  </si>
  <si>
    <t xml:space="preserve">4. Use the Worker Departures tab any time a worker abandons the job or is fired for cause. It works out the 2-working-day notice deadline for you.</t>
  </si>
  <si>
    <t xml:space="preserve">5. Keep everything for at least 3 years from your certification date (20 CFR 655.167).</t>
  </si>
  <si>
    <t xml:space="preserve">Legend</t>
  </si>
  <si>
    <t xml:space="preserve">Light yellow cells are for you to fill in. Everything else calculates on its own.</t>
  </si>
  <si>
    <t xml:space="preserve">Rows in grey italics are examples showing the expected format. Overwrite or delete them.</t>
  </si>
  <si>
    <t xml:space="preserve">Battenkill Ag customers don't need this sheet</t>
  </si>
  <si>
    <t xml:space="preserve">Every Battenkill Ag customer gets a digital filing cabinet that tracks these records automatically, organized by requirement, so an audit response starts from a complete folder.</t>
  </si>
  <si>
    <t xml:space="preserve">Talk to us: 281-900-0779  |  max@battenkillag.com</t>
  </si>
  <si>
    <t xml:space="preserve">Important</t>
  </si>
  <si>
    <t xml:space="preserve">Battenkill Ag is an H-2A agent, not a law firm. This checklist is general information, not legal advice, and may not list every record your case requires. Rules change, so check the regulations or talk to an immigration attorney about your situation. Last reviewed October 2026.</t>
  </si>
  <si>
    <t xml:space="preserve">Season Info</t>
  </si>
  <si>
    <t xml:space="preserve">Farm name</t>
  </si>
  <si>
    <t xml:space="preserve">Example Family Farm</t>
  </si>
  <si>
    <t xml:space="preserve">Season (year)</t>
  </si>
  <si>
    <t xml:space="preserve">2027</t>
  </si>
  <si>
    <t xml:space="preserve">DOL case number</t>
  </si>
  <si>
    <t xml:space="preserve">H-300-00000-000000</t>
  </si>
  <si>
    <t xml:space="preserve">Found on your certification</t>
  </si>
  <si>
    <t xml:space="preserve">Certification date</t>
  </si>
  <si>
    <t xml:space="preserve">Date DOL certified your application</t>
  </si>
  <si>
    <t xml:space="preserve">Keep records until</t>
  </si>
  <si>
    <t xml:space="preserve">3 years from certification (20 CFR 655.167)</t>
  </si>
  <si>
    <t xml:space="preserve">Audit letter received (if any)</t>
  </si>
  <si>
    <t xml:space="preserve">Leave blank unless DOL sends an audit letter</t>
  </si>
  <si>
    <t xml:space="preserve">Response due date stated in letter</t>
  </si>
  <si>
    <t xml:space="preserve">No more than 30 days after the letter (20 CFR 655.180)</t>
  </si>
  <si>
    <t xml:space="preserve">Days left to respond</t>
  </si>
  <si>
    <t xml:space="preserve">Counts down from today</t>
  </si>
  <si>
    <t xml:space="preserve">H-2A Audit Checklist</t>
  </si>
  <si>
    <t xml:space="preserve">Mark each record. Keep everything at least 3 years from your certification date.</t>
  </si>
  <si>
    <t xml:space="preserve">Records that apply to your farm</t>
  </si>
  <si>
    <t xml:space="preserve">Mark rows Yes in column D to count them</t>
  </si>
  <si>
    <t xml:space="preserve">Records you have</t>
  </si>
  <si>
    <t xml:space="preserve">Ready for an audit</t>
  </si>
  <si>
    <t xml:space="preserve">#</t>
  </si>
  <si>
    <t xml:space="preserve">Record</t>
  </si>
  <si>
    <t xml:space="preserve">Rule</t>
  </si>
  <si>
    <t xml:space="preserve">Applies to my farm?</t>
  </si>
  <si>
    <t xml:space="preserve">Have it?</t>
  </si>
  <si>
    <t xml:space="preserve">Where it's kept</t>
  </si>
  <si>
    <t xml:space="preserve">Last updated</t>
  </si>
  <si>
    <t xml:space="preserve">Notes</t>
  </si>
  <si>
    <t xml:space="preserve">Ex.</t>
  </si>
  <si>
    <t xml:space="preserve">Example: Housing inspection certificate</t>
  </si>
  <si>
    <t xml:space="preserve">20 CFR 655.122(d)</t>
  </si>
  <si>
    <t xml:space="preserve">Yes</t>
  </si>
  <si>
    <t xml:space="preserve">Office binder, tab 3</t>
  </si>
  <si>
    <t xml:space="preserve">Inspected March 2, passed</t>
  </si>
  <si>
    <t xml:space="preserve">Application and recruitment</t>
  </si>
  <si>
    <t xml:space="preserve">Job order (ETA-790/790A), application (ETA-9142A) and DOL certification</t>
  </si>
  <si>
    <t xml:space="preserve">20 CFR 655.167</t>
  </si>
  <si>
    <t xml:space="preserve">Proof the job order was placed with your state workforce agency</t>
  </si>
  <si>
    <t xml:space="preserve">20 CFR 655.121</t>
  </si>
  <si>
    <t xml:space="preserve">Letters, texts or calls to U.S. workers from last season</t>
  </si>
  <si>
    <t xml:space="preserve">20 CFR 655.153</t>
  </si>
  <si>
    <t xml:space="preserve">Recruitment report</t>
  </si>
  <si>
    <t xml:space="preserve">20 CFR 655.156</t>
  </si>
  <si>
    <t xml:space="preserve">Applicant log: every U.S. applicant, the date, the outcome and a lawful reason</t>
  </si>
  <si>
    <t xml:space="preserve">20 CFR 655.135</t>
  </si>
  <si>
    <t xml:space="preserve">Contracts with any foreign recruiters that ban charging workers fees</t>
  </si>
  <si>
    <t xml:space="preserve">Housing, safety and insurance</t>
  </si>
  <si>
    <t xml:space="preserve">Housing inspection certificate, or rental housing compliance statement</t>
  </si>
  <si>
    <t xml:space="preserve">Workers' compensation proof covering the whole contract period</t>
  </si>
  <si>
    <t xml:space="preserve">20 CFR 655.122(e)</t>
  </si>
  <si>
    <t xml:space="preserve">Vehicle registrations, insurance and drivers' licenses for worker transport</t>
  </si>
  <si>
    <t xml:space="preserve">20 CFR 655.122(h)</t>
  </si>
  <si>
    <t xml:space="preserve">Contracts and travel</t>
  </si>
  <si>
    <t xml:space="preserve">Copy of the job terms given to each worker in a language they understand, with the date given</t>
  </si>
  <si>
    <t xml:space="preserve">20 CFR 655.122(q)</t>
  </si>
  <si>
    <t xml:space="preserve">Inbound travel and daily subsistence reimbursements (paid by the 50% point)</t>
  </si>
  <si>
    <t xml:space="preserve">Return travel records at the end of the contract</t>
  </si>
  <si>
    <t xml:space="preserve">Hours and pay</t>
  </si>
  <si>
    <t xml:space="preserve">Daily hours offered, with guaranteed and extra hours kept separate</t>
  </si>
  <si>
    <t xml:space="preserve">20 CFR 655.122(j)</t>
  </si>
  <si>
    <t xml:space="preserve">Daily hours worked, with start and stop times</t>
  </si>
  <si>
    <t xml:space="preserve">Reason recorded whenever hours worked were fewer than hours offered</t>
  </si>
  <si>
    <t xml:space="preserve">Field tally records and units produced (piece rate work)</t>
  </si>
  <si>
    <t xml:space="preserve">Payroll summaries: rate of pay and earnings each pay period</t>
  </si>
  <si>
    <t xml:space="preserve">Pay statement for every worker, every pay period, with all required items</t>
  </si>
  <si>
    <t xml:space="preserve">20 CFR 655.122(k)</t>
  </si>
  <si>
    <t xml:space="preserve">Every deduction, with the amount and reason</t>
  </si>
  <si>
    <t xml:space="preserve">20 CFR 655.122(p)</t>
  </si>
  <si>
    <t xml:space="preserve">Each worker's permanent home address, plus phone and email if available</t>
  </si>
  <si>
    <t xml:space="preserve">Three-fourths guarantee check at the end of the contract</t>
  </si>
  <si>
    <t xml:space="preserve">20 CFR 655.122(i)</t>
  </si>
  <si>
    <t xml:space="preserve">Departures and changes</t>
  </si>
  <si>
    <t xml:space="preserve">Abandonment or termination notices sent to DOL and DHS within 2 working days</t>
  </si>
  <si>
    <t xml:space="preserve">20 CFR 655.122(n)</t>
  </si>
  <si>
    <t xml:space="preserve">Warnings, discipline records and the reason for each termination</t>
  </si>
  <si>
    <t xml:space="preserve">Notices to workers about any delay in your start date</t>
  </si>
  <si>
    <t xml:space="preserve">Job order</t>
  </si>
  <si>
    <t xml:space="preserve">If an audit letter arrives</t>
  </si>
  <si>
    <t xml:space="preserve">The audit letter, its due date, and a copy of everything you sent back</t>
  </si>
  <si>
    <t xml:space="preserve">20 CFR 655.180</t>
  </si>
  <si>
    <t xml:space="preserve">Battenkill Ag customers: your digital filing cabinet tracks every record on this list automatically.</t>
  </si>
  <si>
    <t xml:space="preserve">General information, not legal advice. Your case may require records not listed here.</t>
  </si>
  <si>
    <t xml:space="preserve">Worker Departures Log</t>
  </si>
  <si>
    <t xml:space="preserve">Notify DOL and DHS within 2 working days of an abandonment or termination for cause (20 CFR 655.122(n)). A worker has abandoned the job after 5 consecutive working days of not reporting without your consent.</t>
  </si>
  <si>
    <t xml:space="preserve">The due date skips weekends only. If a federal holiday falls in between, count one more working day.</t>
  </si>
  <si>
    <t xml:space="preserve">Worker name</t>
  </si>
  <si>
    <t xml:space="preserve">Reason</t>
  </si>
  <si>
    <t xml:space="preserve">Abandonment or termination date</t>
  </si>
  <si>
    <t xml:space="preserve">Notice due (2 working days)</t>
  </si>
  <si>
    <t xml:space="preserve">Date DOL notified</t>
  </si>
  <si>
    <t xml:space="preserve">Date DHS notified</t>
  </si>
  <si>
    <t xml:space="preserve">On time?</t>
  </si>
  <si>
    <t xml:space="preserve">Example: Juan Perez</t>
  </si>
  <si>
    <t xml:space="preserve">Abandonment</t>
  </si>
  <si>
    <t xml:space="preserve">Sent through FLAG and email to USCIS</t>
  </si>
</sst>
</file>

<file path=xl/styles.xml><?xml version="1.0" encoding="utf-8"?>
<styleSheet xmlns="http://schemas.openxmlformats.org/spreadsheetml/2006/main">
  <numFmts count="6">
    <numFmt numFmtId="164" formatCode="General"/>
    <numFmt numFmtId="165" formatCode="@"/>
    <numFmt numFmtId="166" formatCode="mmm\ d&quot;, &quot;yyyy"/>
    <numFmt numFmtId="167" formatCode="0"/>
    <numFmt numFmtId="168" formatCode="General"/>
    <numFmt numFmtId="169" formatCode="0%"/>
  </numFmts>
  <fonts count="19">
    <font>
      <sz val="11"/>
      <color theme="1"/>
      <name val="Calibri"/>
      <family val="2"/>
      <charset val="1"/>
    </font>
    <font>
      <sz val="10"/>
      <name val="Arial"/>
      <family val="0"/>
    </font>
    <font>
      <sz val="10"/>
      <name val="Arial"/>
      <family val="0"/>
    </font>
    <font>
      <sz val="10"/>
      <name val="Arial"/>
      <family val="0"/>
    </font>
    <font>
      <b val="true"/>
      <sz val="18"/>
      <color rgb="FF253645"/>
      <name val="Arial"/>
      <family val="0"/>
      <charset val="1"/>
    </font>
    <font>
      <sz val="11"/>
      <color rgb="FF5E5446"/>
      <name val="Arial"/>
      <family val="0"/>
      <charset val="1"/>
    </font>
    <font>
      <b val="true"/>
      <sz val="13"/>
      <color rgb="FFB8553A"/>
      <name val="Arial"/>
      <family val="0"/>
      <charset val="1"/>
    </font>
    <font>
      <sz val="11"/>
      <name val="Arial"/>
      <family val="0"/>
      <charset val="1"/>
    </font>
    <font>
      <b val="true"/>
      <sz val="11"/>
      <name val="Arial"/>
      <family val="0"/>
      <charset val="1"/>
    </font>
    <font>
      <i val="true"/>
      <sz val="10"/>
      <color rgb="FF5E5446"/>
      <name val="Arial"/>
      <family val="0"/>
      <charset val="1"/>
    </font>
    <font>
      <b val="true"/>
      <sz val="16"/>
      <color rgb="FF253645"/>
      <name val="Arial"/>
      <family val="0"/>
      <charset val="1"/>
    </font>
    <font>
      <i val="true"/>
      <sz val="11"/>
      <color rgb="FF888888"/>
      <name val="Arial"/>
      <family val="0"/>
      <charset val="1"/>
    </font>
    <font>
      <i val="true"/>
      <sz val="9"/>
      <color rgb="FF5E5446"/>
      <name val="Arial"/>
      <family val="0"/>
      <charset val="1"/>
    </font>
    <font>
      <b val="true"/>
      <sz val="12"/>
      <color rgb="FF6B7117"/>
      <name val="Arial"/>
      <family val="0"/>
      <charset val="1"/>
    </font>
    <font>
      <b val="true"/>
      <sz val="11"/>
      <color rgb="FFFFFFFF"/>
      <name val="Arial"/>
      <family val="0"/>
      <charset val="1"/>
    </font>
    <font>
      <i val="true"/>
      <sz val="10"/>
      <color rgb="FF888888"/>
      <name val="Arial"/>
      <family val="0"/>
      <charset val="1"/>
    </font>
    <font>
      <b val="true"/>
      <sz val="11"/>
      <color rgb="FF253645"/>
      <name val="Arial"/>
      <family val="0"/>
      <charset val="1"/>
    </font>
    <font>
      <sz val="10"/>
      <name val="Arial"/>
      <family val="0"/>
      <charset val="1"/>
    </font>
    <font>
      <b val="true"/>
      <sz val="10"/>
      <color rgb="FFB8553A"/>
      <name val="Arial"/>
      <family val="0"/>
      <charset val="1"/>
    </font>
  </fonts>
  <fills count="5">
    <fill>
      <patternFill patternType="none"/>
    </fill>
    <fill>
      <patternFill patternType="gray125"/>
    </fill>
    <fill>
      <patternFill patternType="solid">
        <fgColor rgb="FFFFF7D6"/>
        <bgColor rgb="FFEFF1CC"/>
      </patternFill>
    </fill>
    <fill>
      <patternFill patternType="solid">
        <fgColor rgb="FF253645"/>
        <bgColor rgb="FF003366"/>
      </patternFill>
    </fill>
    <fill>
      <patternFill patternType="solid">
        <fgColor rgb="FFEFF1CC"/>
        <bgColor rgb="FFE3EDC6"/>
      </patternFill>
    </fill>
  </fills>
  <borders count="2">
    <border diagonalUp="false" diagonalDown="false">
      <left/>
      <right/>
      <top/>
      <bottom/>
      <diagonal/>
    </border>
    <border diagonalUp="false" diagonalDown="false">
      <left style="thin">
        <color rgb="FFE6E1D6"/>
      </left>
      <right style="thin">
        <color rgb="FFE6E1D6"/>
      </right>
      <top style="thin">
        <color rgb="FFE6E1D6"/>
      </top>
      <bottom style="thin">
        <color rgb="FFE6E1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6" fontId="7" fillId="2"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13" fillId="0"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4" fontId="14" fillId="3"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6" fontId="15"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general" vertical="top" textRotation="0" wrapText="true" indent="0" shrinkToFit="false"/>
      <protection locked="true" hidden="false"/>
    </xf>
    <xf numFmtId="166" fontId="17" fillId="2"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5" fillId="2" borderId="1" xfId="0" applyFont="true" applyBorder="true" applyAlignment="true" applyProtection="false">
      <alignment horizontal="general" vertical="bottom" textRotation="0" wrapText="false" indent="0" shrinkToFit="false"/>
      <protection locked="true" hidden="false"/>
    </xf>
    <xf numFmtId="166" fontId="15" fillId="2" borderId="1" xfId="0" applyFont="true" applyBorder="true" applyAlignment="tru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general" vertical="bottom" textRotation="0" wrapText="false" indent="0" shrinkToFit="false"/>
      <protection locked="true" hidden="false"/>
    </xf>
    <xf numFmtId="166" fontId="17" fillId="2" borderId="1" xfId="0" applyFont="true" applyBorder="true" applyAlignment="true" applyProtection="false">
      <alignment horizontal="general" vertical="bottom" textRotation="0" wrapText="false" indent="0" shrinkToFit="false"/>
      <protection locked="true" hidden="false"/>
    </xf>
    <xf numFmtId="166" fontId="17"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3EDC6"/>
        </patternFill>
      </fill>
    </dxf>
    <dxf>
      <fill>
        <patternFill>
          <bgColor rgb="FFFBEBC8"/>
        </patternFill>
      </fill>
    </dxf>
    <dxf>
      <fill>
        <patternFill>
          <bgColor rgb="FFF6DC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B7117"/>
      <rgbColor rgb="FF800080"/>
      <rgbColor rgb="FF008080"/>
      <rgbColor rgb="FFC0C0C0"/>
      <rgbColor rgb="FF888888"/>
      <rgbColor rgb="FF9999FF"/>
      <rgbColor rgb="FFB8553A"/>
      <rgbColor rgb="FFFFF7D6"/>
      <rgbColor rgb="FFFBEBC8"/>
      <rgbColor rgb="FF660066"/>
      <rgbColor rgb="FFFF8080"/>
      <rgbColor rgb="FF0066CC"/>
      <rgbColor rgb="FFE6E1D6"/>
      <rgbColor rgb="FF000080"/>
      <rgbColor rgb="FFFF00FF"/>
      <rgbColor rgb="FFFFFF00"/>
      <rgbColor rgb="FF00FFFF"/>
      <rgbColor rgb="FF800080"/>
      <rgbColor rgb="FF800000"/>
      <rgbColor rgb="FF008080"/>
      <rgbColor rgb="FF0000FF"/>
      <rgbColor rgb="FF00CCFF"/>
      <rgbColor rgb="FFCCFFFF"/>
      <rgbColor rgb="FFE3EDC6"/>
      <rgbColor rgb="FFEFF1CC"/>
      <rgbColor rgb="FF99CCFF"/>
      <rgbColor rgb="FFFF99CC"/>
      <rgbColor rgb="FFCC99FF"/>
      <rgbColor rgb="FFF6DCD3"/>
      <rgbColor rgb="FF3366FF"/>
      <rgbColor rgb="FF33CCCC"/>
      <rgbColor rgb="FF99CC00"/>
      <rgbColor rgb="FFFFCC00"/>
      <rgbColor rgb="FFFF9900"/>
      <rgbColor rgb="FFFF6600"/>
      <rgbColor rgb="FF5E5446"/>
      <rgbColor rgb="FF969696"/>
      <rgbColor rgb="FF003366"/>
      <rgbColor rgb="FF339966"/>
      <rgbColor rgb="FF003300"/>
      <rgbColor rgb="FF333300"/>
      <rgbColor rgb="FF993300"/>
      <rgbColor rgb="FF993366"/>
      <rgbColor rgb="FF333399"/>
      <rgbColor rgb="FF2536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00"/>
  </cols>
  <sheetData>
    <row r="2" customFormat="false" ht="21.75" hidden="false" customHeight="true" outlineLevel="0" collapsed="false">
      <c r="B2" s="2" t="s">
        <v>0</v>
      </c>
    </row>
    <row r="3" customFormat="false" ht="15" hidden="false" customHeight="true" outlineLevel="0" collapsed="false">
      <c r="B3" s="3" t="s">
        <v>1</v>
      </c>
    </row>
    <row r="4" customFormat="false" ht="15" hidden="false" customHeight="true" outlineLevel="0" collapsed="false">
      <c r="B4" s="4"/>
    </row>
    <row r="5" customFormat="false" ht="15.75" hidden="false" customHeight="true" outlineLevel="0" collapsed="false">
      <c r="B5" s="5" t="s">
        <v>2</v>
      </c>
    </row>
    <row r="6" customFormat="false" ht="15" hidden="false" customHeight="true" outlineLevel="0" collapsed="false">
      <c r="B6" s="6" t="s">
        <v>3</v>
      </c>
    </row>
    <row r="7" customFormat="false" ht="30" hidden="false" customHeight="true" outlineLevel="0" collapsed="false">
      <c r="B7" s="7" t="s">
        <v>4</v>
      </c>
    </row>
    <row r="8" customFormat="false" ht="15" hidden="false" customHeight="true" outlineLevel="0" collapsed="false">
      <c r="B8" s="6" t="s">
        <v>5</v>
      </c>
    </row>
    <row r="9" customFormat="false" ht="30" hidden="false" customHeight="true" outlineLevel="0" collapsed="false">
      <c r="B9" s="6" t="s">
        <v>6</v>
      </c>
    </row>
    <row r="10" customFormat="false" ht="15" hidden="false" customHeight="true" outlineLevel="0" collapsed="false">
      <c r="B10" s="6" t="s">
        <v>7</v>
      </c>
    </row>
    <row r="11" customFormat="false" ht="15" hidden="false" customHeight="true" outlineLevel="0" collapsed="false">
      <c r="B11" s="4"/>
    </row>
    <row r="12" customFormat="false" ht="15.75" hidden="false" customHeight="true" outlineLevel="0" collapsed="false">
      <c r="B12" s="5" t="s">
        <v>8</v>
      </c>
    </row>
    <row r="13" customFormat="false" ht="15" hidden="false" customHeight="true" outlineLevel="0" collapsed="false">
      <c r="B13" s="6" t="s">
        <v>9</v>
      </c>
    </row>
    <row r="14" customFormat="false" ht="15" hidden="false" customHeight="true" outlineLevel="0" collapsed="false">
      <c r="B14" s="6" t="s">
        <v>10</v>
      </c>
    </row>
    <row r="15" customFormat="false" ht="15" hidden="false" customHeight="true" outlineLevel="0" collapsed="false">
      <c r="B15" s="4"/>
    </row>
    <row r="16" customFormat="false" ht="15.75" hidden="false" customHeight="true" outlineLevel="0" collapsed="false">
      <c r="B16" s="5" t="s">
        <v>11</v>
      </c>
    </row>
    <row r="17" customFormat="false" ht="30" hidden="false" customHeight="true" outlineLevel="0" collapsed="false">
      <c r="B17" s="6" t="s">
        <v>12</v>
      </c>
    </row>
    <row r="18" customFormat="false" ht="15" hidden="false" customHeight="true" outlineLevel="0" collapsed="false">
      <c r="B18" s="8" t="s">
        <v>13</v>
      </c>
    </row>
    <row r="19" customFormat="false" ht="15" hidden="false" customHeight="true" outlineLevel="0" collapsed="false">
      <c r="B19" s="4"/>
    </row>
    <row r="20" customFormat="false" ht="15.75" hidden="false" customHeight="true" outlineLevel="0" collapsed="false">
      <c r="B20" s="5" t="s">
        <v>14</v>
      </c>
    </row>
    <row r="21" customFormat="false" ht="45" hidden="false" customHeight="true" outlineLevel="0" collapsed="false">
      <c r="B21" s="9"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26"/>
    <col collapsed="false" customWidth="true" hidden="false" outlineLevel="0" max="3" min="3" style="1" width="60"/>
  </cols>
  <sheetData>
    <row r="1" customFormat="false" ht="19.5" hidden="false" customHeight="true" outlineLevel="0" collapsed="false">
      <c r="A1" s="10" t="s">
        <v>16</v>
      </c>
    </row>
    <row r="3" customFormat="false" ht="15" hidden="false" customHeight="true" outlineLevel="0" collapsed="false">
      <c r="A3" s="11" t="s">
        <v>17</v>
      </c>
      <c r="B3" s="12" t="s">
        <v>18</v>
      </c>
      <c r="C3" s="13"/>
    </row>
    <row r="4" customFormat="false" ht="15" hidden="false" customHeight="true" outlineLevel="0" collapsed="false">
      <c r="A4" s="11" t="s">
        <v>19</v>
      </c>
      <c r="B4" s="14" t="s">
        <v>20</v>
      </c>
      <c r="C4" s="13"/>
    </row>
    <row r="5" customFormat="false" ht="15" hidden="false" customHeight="true" outlineLevel="0" collapsed="false">
      <c r="A5" s="11" t="s">
        <v>21</v>
      </c>
      <c r="B5" s="12" t="s">
        <v>22</v>
      </c>
      <c r="C5" s="13" t="s">
        <v>23</v>
      </c>
    </row>
    <row r="6" customFormat="false" ht="15" hidden="false" customHeight="true" outlineLevel="0" collapsed="false">
      <c r="A6" s="11" t="s">
        <v>24</v>
      </c>
      <c r="B6" s="15"/>
      <c r="C6" s="13" t="s">
        <v>25</v>
      </c>
    </row>
    <row r="7" customFormat="false" ht="15" hidden="false" customHeight="true" outlineLevel="0" collapsed="false">
      <c r="A7" s="11" t="s">
        <v>26</v>
      </c>
      <c r="B7" s="16" t="str">
        <f aca="false">IF(B6="","",EDATE(B6,36))</f>
        <v/>
      </c>
      <c r="C7" s="13" t="s">
        <v>27</v>
      </c>
    </row>
    <row r="8" customFormat="false" ht="15" hidden="false" customHeight="true" outlineLevel="0" collapsed="false">
      <c r="A8" s="11" t="s">
        <v>28</v>
      </c>
      <c r="B8" s="15"/>
      <c r="C8" s="13" t="s">
        <v>29</v>
      </c>
    </row>
    <row r="9" customFormat="false" ht="15" hidden="false" customHeight="true" outlineLevel="0" collapsed="false">
      <c r="A9" s="11" t="s">
        <v>30</v>
      </c>
      <c r="B9" s="15"/>
      <c r="C9" s="13" t="s">
        <v>31</v>
      </c>
    </row>
    <row r="10" customFormat="false" ht="15" hidden="false" customHeight="true" outlineLevel="0" collapsed="false">
      <c r="A10" s="11" t="s">
        <v>32</v>
      </c>
      <c r="B10" s="17" t="str">
        <f aca="true">IF(B9="","",B9-TODAY())</f>
        <v/>
      </c>
      <c r="C10" s="1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8"/>
    <col collapsed="false" customWidth="true" hidden="false" outlineLevel="0" max="3" min="3" style="1" width="20"/>
    <col collapsed="false" customWidth="true" hidden="false" outlineLevel="0" max="4" min="4" style="1" width="14"/>
    <col collapsed="false" customWidth="true" hidden="false" outlineLevel="0" max="5" min="5" style="1" width="12"/>
    <col collapsed="false" customWidth="true" hidden="false" outlineLevel="0" max="6" min="6" style="1" width="30"/>
    <col collapsed="false" customWidth="true" hidden="false" outlineLevel="0" max="7" min="7" style="1" width="14"/>
    <col collapsed="false" customWidth="true" hidden="false" outlineLevel="0" max="8" min="8" style="1" width="34"/>
  </cols>
  <sheetData>
    <row r="1" customFormat="false" ht="19.5" hidden="false" customHeight="true" outlineLevel="0" collapsed="false">
      <c r="A1" s="10" t="s">
        <v>34</v>
      </c>
    </row>
    <row r="2" customFormat="false" ht="15" hidden="false" customHeight="true" outlineLevel="0" collapsed="false">
      <c r="A2" s="18" t="s">
        <v>35</v>
      </c>
    </row>
    <row r="4" customFormat="false" ht="15" hidden="false" customHeight="true" outlineLevel="0" collapsed="false">
      <c r="B4" s="11" t="s">
        <v>36</v>
      </c>
      <c r="C4" s="19" t="n">
        <f aca="false">COUNTIF($D$10:$D$40,"Yes")</f>
        <v>0</v>
      </c>
      <c r="D4" s="13" t="s">
        <v>37</v>
      </c>
    </row>
    <row r="5" customFormat="false" ht="15" hidden="false" customHeight="true" outlineLevel="0" collapsed="false">
      <c r="B5" s="11" t="s">
        <v>38</v>
      </c>
      <c r="C5" s="19" t="n">
        <f aca="false">COUNTIFS($D$10:$D$40,"Yes",$E$10:$E$40,"Yes")</f>
        <v>0</v>
      </c>
    </row>
    <row r="6" customFormat="false" ht="15" hidden="false" customHeight="true" outlineLevel="0" collapsed="false">
      <c r="B6" s="11" t="s">
        <v>39</v>
      </c>
      <c r="C6" s="20" t="str">
        <f aca="false">IF(C4=0,"",C5/C4)</f>
        <v/>
      </c>
    </row>
    <row r="8" customFormat="false" ht="31.5" hidden="false" customHeight="true" outlineLevel="0" collapsed="false">
      <c r="A8" s="21" t="s">
        <v>40</v>
      </c>
      <c r="B8" s="21" t="s">
        <v>41</v>
      </c>
      <c r="C8" s="21" t="s">
        <v>42</v>
      </c>
      <c r="D8" s="21" t="s">
        <v>43</v>
      </c>
      <c r="E8" s="21" t="s">
        <v>44</v>
      </c>
      <c r="F8" s="21" t="s">
        <v>45</v>
      </c>
      <c r="G8" s="21" t="s">
        <v>46</v>
      </c>
      <c r="H8" s="21" t="s">
        <v>47</v>
      </c>
    </row>
    <row r="9" customFormat="false" ht="15" hidden="false" customHeight="true" outlineLevel="0" collapsed="false">
      <c r="A9" s="22" t="s">
        <v>48</v>
      </c>
      <c r="B9" s="22" t="s">
        <v>49</v>
      </c>
      <c r="C9" s="22" t="s">
        <v>50</v>
      </c>
      <c r="D9" s="22" t="s">
        <v>51</v>
      </c>
      <c r="E9" s="22" t="s">
        <v>51</v>
      </c>
      <c r="F9" s="22" t="s">
        <v>52</v>
      </c>
      <c r="G9" s="23" t="n">
        <f aca="false">DATE(2027,3,2)</f>
        <v>46448</v>
      </c>
      <c r="H9" s="22" t="s">
        <v>53</v>
      </c>
    </row>
    <row r="10" customFormat="false" ht="15" hidden="false" customHeight="true" outlineLevel="0" collapsed="false">
      <c r="A10" s="24"/>
      <c r="B10" s="25" t="s">
        <v>54</v>
      </c>
      <c r="C10" s="24"/>
      <c r="D10" s="24"/>
      <c r="E10" s="24"/>
      <c r="F10" s="24"/>
      <c r="G10" s="24"/>
      <c r="H10" s="24"/>
    </row>
    <row r="11" customFormat="false" ht="23.25" hidden="false" customHeight="true" outlineLevel="0" collapsed="false">
      <c r="A11" s="26" t="n">
        <v>1</v>
      </c>
      <c r="B11" s="26" t="s">
        <v>55</v>
      </c>
      <c r="C11" s="26" t="s">
        <v>56</v>
      </c>
      <c r="D11" s="27"/>
      <c r="E11" s="27"/>
      <c r="F11" s="27"/>
      <c r="G11" s="28"/>
      <c r="H11" s="27"/>
    </row>
    <row r="12" customFormat="false" ht="15" hidden="false" customHeight="true" outlineLevel="0" collapsed="false">
      <c r="A12" s="26" t="n">
        <v>2</v>
      </c>
      <c r="B12" s="26" t="s">
        <v>57</v>
      </c>
      <c r="C12" s="26" t="s">
        <v>58</v>
      </c>
      <c r="D12" s="27"/>
      <c r="E12" s="27"/>
      <c r="F12" s="27"/>
      <c r="G12" s="28"/>
      <c r="H12" s="27"/>
    </row>
    <row r="13" customFormat="false" ht="15" hidden="false" customHeight="true" outlineLevel="0" collapsed="false">
      <c r="A13" s="26" t="n">
        <v>3</v>
      </c>
      <c r="B13" s="26" t="s">
        <v>59</v>
      </c>
      <c r="C13" s="26" t="s">
        <v>60</v>
      </c>
      <c r="D13" s="27"/>
      <c r="E13" s="27"/>
      <c r="F13" s="27"/>
      <c r="G13" s="28"/>
      <c r="H13" s="27"/>
    </row>
    <row r="14" customFormat="false" ht="15" hidden="false" customHeight="true" outlineLevel="0" collapsed="false">
      <c r="A14" s="26" t="n">
        <v>4</v>
      </c>
      <c r="B14" s="26" t="s">
        <v>61</v>
      </c>
      <c r="C14" s="26" t="s">
        <v>62</v>
      </c>
      <c r="D14" s="27"/>
      <c r="E14" s="27"/>
      <c r="F14" s="27"/>
      <c r="G14" s="28"/>
      <c r="H14" s="27"/>
    </row>
    <row r="15" customFormat="false" ht="23.25" hidden="false" customHeight="true" outlineLevel="0" collapsed="false">
      <c r="A15" s="26" t="n">
        <v>5</v>
      </c>
      <c r="B15" s="26" t="s">
        <v>63</v>
      </c>
      <c r="C15" s="26" t="s">
        <v>64</v>
      </c>
      <c r="D15" s="27"/>
      <c r="E15" s="27"/>
      <c r="F15" s="27"/>
      <c r="G15" s="28"/>
      <c r="H15" s="27"/>
    </row>
    <row r="16" customFormat="false" ht="15" hidden="false" customHeight="true" outlineLevel="0" collapsed="false">
      <c r="A16" s="26" t="n">
        <v>6</v>
      </c>
      <c r="B16" s="26" t="s">
        <v>65</v>
      </c>
      <c r="C16" s="26" t="s">
        <v>64</v>
      </c>
      <c r="D16" s="27"/>
      <c r="E16" s="27"/>
      <c r="F16" s="27"/>
      <c r="G16" s="28"/>
      <c r="H16" s="27"/>
    </row>
    <row r="17" customFormat="false" ht="15" hidden="false" customHeight="true" outlineLevel="0" collapsed="false">
      <c r="A17" s="24"/>
      <c r="B17" s="25" t="s">
        <v>66</v>
      </c>
      <c r="C17" s="24"/>
      <c r="D17" s="24"/>
      <c r="E17" s="24"/>
      <c r="F17" s="24"/>
      <c r="G17" s="24"/>
      <c r="H17" s="24"/>
    </row>
    <row r="18" customFormat="false" ht="15" hidden="false" customHeight="true" outlineLevel="0" collapsed="false">
      <c r="A18" s="26" t="n">
        <v>7</v>
      </c>
      <c r="B18" s="26" t="s">
        <v>67</v>
      </c>
      <c r="C18" s="26" t="s">
        <v>50</v>
      </c>
      <c r="D18" s="27"/>
      <c r="E18" s="27"/>
      <c r="F18" s="27"/>
      <c r="G18" s="28"/>
      <c r="H18" s="27"/>
    </row>
    <row r="19" customFormat="false" ht="15" hidden="false" customHeight="true" outlineLevel="0" collapsed="false">
      <c r="A19" s="26" t="n">
        <v>8</v>
      </c>
      <c r="B19" s="26" t="s">
        <v>68</v>
      </c>
      <c r="C19" s="26" t="s">
        <v>69</v>
      </c>
      <c r="D19" s="27"/>
      <c r="E19" s="27"/>
      <c r="F19" s="27"/>
      <c r="G19" s="28"/>
      <c r="H19" s="27"/>
    </row>
    <row r="20" customFormat="false" ht="23.25" hidden="false" customHeight="true" outlineLevel="0" collapsed="false">
      <c r="A20" s="26" t="n">
        <v>9</v>
      </c>
      <c r="B20" s="26" t="s">
        <v>70</v>
      </c>
      <c r="C20" s="26" t="s">
        <v>71</v>
      </c>
      <c r="D20" s="27"/>
      <c r="E20" s="27"/>
      <c r="F20" s="27"/>
      <c r="G20" s="28"/>
      <c r="H20" s="27"/>
    </row>
    <row r="21" customFormat="false" ht="15" hidden="false" customHeight="true" outlineLevel="0" collapsed="false">
      <c r="A21" s="24"/>
      <c r="B21" s="25" t="s">
        <v>72</v>
      </c>
      <c r="C21" s="24"/>
      <c r="D21" s="24"/>
      <c r="E21" s="24"/>
      <c r="F21" s="24"/>
      <c r="G21" s="24"/>
      <c r="H21" s="24"/>
    </row>
    <row r="22" customFormat="false" ht="23.25" hidden="false" customHeight="true" outlineLevel="0" collapsed="false">
      <c r="A22" s="26" t="n">
        <v>10</v>
      </c>
      <c r="B22" s="26" t="s">
        <v>73</v>
      </c>
      <c r="C22" s="26" t="s">
        <v>74</v>
      </c>
      <c r="D22" s="27"/>
      <c r="E22" s="27"/>
      <c r="F22" s="27"/>
      <c r="G22" s="28"/>
      <c r="H22" s="27"/>
    </row>
    <row r="23" customFormat="false" ht="23.25" hidden="false" customHeight="true" outlineLevel="0" collapsed="false">
      <c r="A23" s="26" t="n">
        <v>11</v>
      </c>
      <c r="B23" s="26" t="s">
        <v>75</v>
      </c>
      <c r="C23" s="26" t="s">
        <v>71</v>
      </c>
      <c r="D23" s="27"/>
      <c r="E23" s="27"/>
      <c r="F23" s="27"/>
      <c r="G23" s="28"/>
      <c r="H23" s="27"/>
    </row>
    <row r="24" customFormat="false" ht="15" hidden="false" customHeight="true" outlineLevel="0" collapsed="false">
      <c r="A24" s="26" t="n">
        <v>12</v>
      </c>
      <c r="B24" s="26" t="s">
        <v>76</v>
      </c>
      <c r="C24" s="26" t="s">
        <v>71</v>
      </c>
      <c r="D24" s="27"/>
      <c r="E24" s="27"/>
      <c r="F24" s="27"/>
      <c r="G24" s="28"/>
      <c r="H24" s="27"/>
    </row>
    <row r="25" customFormat="false" ht="15" hidden="false" customHeight="true" outlineLevel="0" collapsed="false">
      <c r="A25" s="24"/>
      <c r="B25" s="25" t="s">
        <v>77</v>
      </c>
      <c r="C25" s="24"/>
      <c r="D25" s="24"/>
      <c r="E25" s="24"/>
      <c r="F25" s="24"/>
      <c r="G25" s="24"/>
      <c r="H25" s="24"/>
    </row>
    <row r="26" customFormat="false" ht="15" hidden="false" customHeight="true" outlineLevel="0" collapsed="false">
      <c r="A26" s="26" t="n">
        <v>13</v>
      </c>
      <c r="B26" s="26" t="s">
        <v>78</v>
      </c>
      <c r="C26" s="26" t="s">
        <v>79</v>
      </c>
      <c r="D26" s="27"/>
      <c r="E26" s="27"/>
      <c r="F26" s="27"/>
      <c r="G26" s="28"/>
      <c r="H26" s="27"/>
    </row>
    <row r="27" customFormat="false" ht="15" hidden="false" customHeight="true" outlineLevel="0" collapsed="false">
      <c r="A27" s="26" t="n">
        <v>14</v>
      </c>
      <c r="B27" s="26" t="s">
        <v>80</v>
      </c>
      <c r="C27" s="26" t="s">
        <v>79</v>
      </c>
      <c r="D27" s="27"/>
      <c r="E27" s="27"/>
      <c r="F27" s="27"/>
      <c r="G27" s="28"/>
      <c r="H27" s="27"/>
    </row>
    <row r="28" customFormat="false" ht="23.25" hidden="false" customHeight="true" outlineLevel="0" collapsed="false">
      <c r="A28" s="26" t="n">
        <v>15</v>
      </c>
      <c r="B28" s="26" t="s">
        <v>81</v>
      </c>
      <c r="C28" s="26" t="s">
        <v>79</v>
      </c>
      <c r="D28" s="27"/>
      <c r="E28" s="27"/>
      <c r="F28" s="27"/>
      <c r="G28" s="28"/>
      <c r="H28" s="27"/>
    </row>
    <row r="29" customFormat="false" ht="15" hidden="false" customHeight="true" outlineLevel="0" collapsed="false">
      <c r="A29" s="26" t="n">
        <v>16</v>
      </c>
      <c r="B29" s="26" t="s">
        <v>82</v>
      </c>
      <c r="C29" s="26" t="s">
        <v>79</v>
      </c>
      <c r="D29" s="27"/>
      <c r="E29" s="27"/>
      <c r="F29" s="27"/>
      <c r="G29" s="28"/>
      <c r="H29" s="27"/>
    </row>
    <row r="30" customFormat="false" ht="15" hidden="false" customHeight="true" outlineLevel="0" collapsed="false">
      <c r="A30" s="26" t="n">
        <v>17</v>
      </c>
      <c r="B30" s="26" t="s">
        <v>83</v>
      </c>
      <c r="C30" s="26" t="s">
        <v>79</v>
      </c>
      <c r="D30" s="27"/>
      <c r="E30" s="27"/>
      <c r="F30" s="27"/>
      <c r="G30" s="28"/>
      <c r="H30" s="27"/>
    </row>
    <row r="31" customFormat="false" ht="23.25" hidden="false" customHeight="true" outlineLevel="0" collapsed="false">
      <c r="A31" s="26" t="n">
        <v>18</v>
      </c>
      <c r="B31" s="26" t="s">
        <v>84</v>
      </c>
      <c r="C31" s="26" t="s">
        <v>85</v>
      </c>
      <c r="D31" s="27"/>
      <c r="E31" s="27"/>
      <c r="F31" s="27"/>
      <c r="G31" s="28"/>
      <c r="H31" s="27"/>
    </row>
    <row r="32" customFormat="false" ht="15" hidden="false" customHeight="true" outlineLevel="0" collapsed="false">
      <c r="A32" s="26" t="n">
        <v>19</v>
      </c>
      <c r="B32" s="26" t="s">
        <v>86</v>
      </c>
      <c r="C32" s="26" t="s">
        <v>87</v>
      </c>
      <c r="D32" s="27"/>
      <c r="E32" s="27"/>
      <c r="F32" s="27"/>
      <c r="G32" s="28"/>
      <c r="H32" s="27"/>
    </row>
    <row r="33" customFormat="false" ht="23.25" hidden="false" customHeight="true" outlineLevel="0" collapsed="false">
      <c r="A33" s="26" t="n">
        <v>20</v>
      </c>
      <c r="B33" s="26" t="s">
        <v>88</v>
      </c>
      <c r="C33" s="26" t="s">
        <v>79</v>
      </c>
      <c r="D33" s="27"/>
      <c r="E33" s="27"/>
      <c r="F33" s="27"/>
      <c r="G33" s="28"/>
      <c r="H33" s="27"/>
    </row>
    <row r="34" customFormat="false" ht="15" hidden="false" customHeight="true" outlineLevel="0" collapsed="false">
      <c r="A34" s="26" t="n">
        <v>21</v>
      </c>
      <c r="B34" s="26" t="s">
        <v>89</v>
      </c>
      <c r="C34" s="26" t="s">
        <v>90</v>
      </c>
      <c r="D34" s="27"/>
      <c r="E34" s="27"/>
      <c r="F34" s="27"/>
      <c r="G34" s="28"/>
      <c r="H34" s="27"/>
    </row>
    <row r="35" customFormat="false" ht="15" hidden="false" customHeight="true" outlineLevel="0" collapsed="false">
      <c r="A35" s="24"/>
      <c r="B35" s="25" t="s">
        <v>91</v>
      </c>
      <c r="C35" s="24"/>
      <c r="D35" s="24"/>
      <c r="E35" s="24"/>
      <c r="F35" s="24"/>
      <c r="G35" s="24"/>
      <c r="H35" s="24"/>
    </row>
    <row r="36" customFormat="false" ht="23.25" hidden="false" customHeight="true" outlineLevel="0" collapsed="false">
      <c r="A36" s="26" t="n">
        <v>22</v>
      </c>
      <c r="B36" s="26" t="s">
        <v>92</v>
      </c>
      <c r="C36" s="26" t="s">
        <v>93</v>
      </c>
      <c r="D36" s="27"/>
      <c r="E36" s="27"/>
      <c r="F36" s="27"/>
      <c r="G36" s="28"/>
      <c r="H36" s="27"/>
    </row>
    <row r="37" customFormat="false" ht="15" hidden="false" customHeight="true" outlineLevel="0" collapsed="false">
      <c r="A37" s="26" t="n">
        <v>23</v>
      </c>
      <c r="B37" s="26" t="s">
        <v>94</v>
      </c>
      <c r="C37" s="26" t="s">
        <v>93</v>
      </c>
      <c r="D37" s="27"/>
      <c r="E37" s="27"/>
      <c r="F37" s="27"/>
      <c r="G37" s="28"/>
      <c r="H37" s="27"/>
    </row>
    <row r="38" customFormat="false" ht="15" hidden="false" customHeight="true" outlineLevel="0" collapsed="false">
      <c r="A38" s="26" t="n">
        <v>24</v>
      </c>
      <c r="B38" s="26" t="s">
        <v>95</v>
      </c>
      <c r="C38" s="26" t="s">
        <v>96</v>
      </c>
      <c r="D38" s="27"/>
      <c r="E38" s="27"/>
      <c r="F38" s="27"/>
      <c r="G38" s="28"/>
      <c r="H38" s="27"/>
    </row>
    <row r="39" customFormat="false" ht="15" hidden="false" customHeight="true" outlineLevel="0" collapsed="false">
      <c r="A39" s="24"/>
      <c r="B39" s="25" t="s">
        <v>97</v>
      </c>
      <c r="C39" s="24"/>
      <c r="D39" s="24"/>
      <c r="E39" s="24"/>
      <c r="F39" s="24"/>
      <c r="G39" s="24"/>
      <c r="H39" s="24"/>
    </row>
    <row r="40" customFormat="false" ht="15" hidden="false" customHeight="true" outlineLevel="0" collapsed="false">
      <c r="A40" s="26" t="n">
        <v>25</v>
      </c>
      <c r="B40" s="26" t="s">
        <v>98</v>
      </c>
      <c r="C40" s="26" t="s">
        <v>99</v>
      </c>
      <c r="D40" s="27"/>
      <c r="E40" s="27"/>
      <c r="F40" s="27"/>
      <c r="G40" s="28"/>
      <c r="H40" s="27"/>
    </row>
    <row r="42" customFormat="false" ht="15" hidden="false" customHeight="true" outlineLevel="0" collapsed="false">
      <c r="B42" s="29" t="s">
        <v>100</v>
      </c>
    </row>
    <row r="43" customFormat="false" ht="15" hidden="false" customHeight="true" outlineLevel="0" collapsed="false">
      <c r="B43" s="13" t="s">
        <v>101</v>
      </c>
    </row>
  </sheetData>
  <conditionalFormatting sqref="E10:E40">
    <cfRule type="cellIs" priority="2" operator="equal" aboveAverage="0" equalAverage="0" bottom="0" percent="0" rank="0" text="" dxfId="0">
      <formula>"Yes"</formula>
    </cfRule>
    <cfRule type="cellIs" priority="3" operator="equal" aboveAverage="0" equalAverage="0" bottom="0" percent="0" rank="0" text="" dxfId="1">
      <formula>"Partial"</formula>
    </cfRule>
    <cfRule type="cellIs" priority="4" operator="equal" aboveAverage="0" equalAverage="0" bottom="0" percent="0" rank="0" text="" dxfId="2">
      <formula>"No"</formula>
    </cfRule>
  </conditionalFormatting>
  <dataValidations count="2">
    <dataValidation allowBlank="true" errorStyle="stop" operator="between" showDropDown="false" showErrorMessage="false" showInputMessage="false" sqref="D10:D40" type="list">
      <formula1>"Yes,N/A"</formula1>
      <formula2>0</formula2>
    </dataValidation>
    <dataValidation allowBlank="true" errorStyle="stop" operator="between" showDropDown="false" showErrorMessage="false" showInputMessage="false" sqref="E10:E40" type="list">
      <formula1>"Yes,Partial,No"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4" min="3" style="1" width="18"/>
    <col collapsed="false" customWidth="true" hidden="false" outlineLevel="0" max="6" min="5" style="1" width="16"/>
    <col collapsed="false" customWidth="true" hidden="false" outlineLevel="0" max="7" min="7" style="1" width="12"/>
    <col collapsed="false" customWidth="true" hidden="false" outlineLevel="0" max="8" min="8" style="1" width="34"/>
  </cols>
  <sheetData>
    <row r="1" customFormat="false" ht="19.5" hidden="false" customHeight="true" outlineLevel="0" collapsed="false">
      <c r="A1" s="10" t="s">
        <v>102</v>
      </c>
    </row>
    <row r="2" customFormat="false" ht="30" hidden="false" customHeight="true" outlineLevel="0" collapsed="false">
      <c r="A2" s="30" t="s">
        <v>103</v>
      </c>
      <c r="B2" s="30"/>
      <c r="C2" s="30"/>
      <c r="D2" s="30"/>
      <c r="E2" s="30"/>
      <c r="F2" s="30"/>
      <c r="G2" s="30"/>
      <c r="H2" s="30"/>
    </row>
    <row r="3" customFormat="false" ht="15" hidden="false" customHeight="true" outlineLevel="0" collapsed="false">
      <c r="A3" s="31" t="s">
        <v>104</v>
      </c>
      <c r="B3" s="31"/>
      <c r="C3" s="31"/>
      <c r="D3" s="31"/>
      <c r="E3" s="31"/>
      <c r="F3" s="31"/>
      <c r="G3" s="31"/>
      <c r="H3" s="31"/>
    </row>
    <row r="5" customFormat="false" ht="31.5" hidden="false" customHeight="true" outlineLevel="0" collapsed="false">
      <c r="A5" s="21" t="s">
        <v>105</v>
      </c>
      <c r="B5" s="21" t="s">
        <v>106</v>
      </c>
      <c r="C5" s="21" t="s">
        <v>107</v>
      </c>
      <c r="D5" s="21" t="s">
        <v>108</v>
      </c>
      <c r="E5" s="21" t="s">
        <v>109</v>
      </c>
      <c r="F5" s="21" t="s">
        <v>110</v>
      </c>
      <c r="G5" s="21" t="s">
        <v>111</v>
      </c>
      <c r="H5" s="21" t="s">
        <v>47</v>
      </c>
    </row>
    <row r="6" customFormat="false" ht="15" hidden="false" customHeight="true" outlineLevel="0" collapsed="false">
      <c r="A6" s="32" t="s">
        <v>112</v>
      </c>
      <c r="B6" s="32" t="s">
        <v>113</v>
      </c>
      <c r="C6" s="33" t="n">
        <f aca="false">DATE(2027,6,4)</f>
        <v>46542</v>
      </c>
      <c r="D6" s="34" t="n">
        <f aca="false">IF(C6="","",WORKDAY(C6,2))</f>
        <v>46546</v>
      </c>
      <c r="E6" s="33" t="n">
        <f aca="false">DATE(2027,6,7)</f>
        <v>46545</v>
      </c>
      <c r="F6" s="33" t="n">
        <f aca="false">DATE(2027,6,7)</f>
        <v>46545</v>
      </c>
      <c r="G6" s="35" t="str">
        <f aca="false">IF(OR(C6="",E6="",F6=""),"",IF(AND(E6&lt;=D6,F6&lt;=D6),"Yes","Late"))</f>
        <v>Yes</v>
      </c>
      <c r="H6" s="32" t="s">
        <v>114</v>
      </c>
    </row>
    <row r="7" customFormat="false" ht="15" hidden="false" customHeight="true" outlineLevel="0" collapsed="false">
      <c r="A7" s="36"/>
      <c r="B7" s="36"/>
      <c r="C7" s="37"/>
      <c r="D7" s="38" t="str">
        <f aca="false">IF(C7="","",WORKDAY(C7,2))</f>
        <v/>
      </c>
      <c r="E7" s="37"/>
      <c r="F7" s="37"/>
      <c r="G7" s="39" t="str">
        <f aca="false">IF(OR(C7="",E7="",F7=""),"",IF(AND(E7&lt;=D7,F7&lt;=D7),"Yes","Late"))</f>
        <v/>
      </c>
      <c r="H7" s="36"/>
    </row>
    <row r="8" customFormat="false" ht="15" hidden="false" customHeight="true" outlineLevel="0" collapsed="false">
      <c r="A8" s="36"/>
      <c r="B8" s="36"/>
      <c r="C8" s="37"/>
      <c r="D8" s="38" t="str">
        <f aca="false">IF(C8="","",WORKDAY(C8,2))</f>
        <v/>
      </c>
      <c r="E8" s="37"/>
      <c r="F8" s="37"/>
      <c r="G8" s="39" t="str">
        <f aca="false">IF(OR(C8="",E8="",F8=""),"",IF(AND(E8&lt;=D8,F8&lt;=D8),"Yes","Late"))</f>
        <v/>
      </c>
      <c r="H8" s="36"/>
    </row>
    <row r="9" customFormat="false" ht="15" hidden="false" customHeight="true" outlineLevel="0" collapsed="false">
      <c r="A9" s="36"/>
      <c r="B9" s="36"/>
      <c r="C9" s="37"/>
      <c r="D9" s="38" t="str">
        <f aca="false">IF(C9="","",WORKDAY(C9,2))</f>
        <v/>
      </c>
      <c r="E9" s="37"/>
      <c r="F9" s="37"/>
      <c r="G9" s="39" t="str">
        <f aca="false">IF(OR(C9="",E9="",F9=""),"",IF(AND(E9&lt;=D9,F9&lt;=D9),"Yes","Late"))</f>
        <v/>
      </c>
      <c r="H9" s="36"/>
    </row>
    <row r="10" customFormat="false" ht="15" hidden="false" customHeight="true" outlineLevel="0" collapsed="false">
      <c r="A10" s="36"/>
      <c r="B10" s="36"/>
      <c r="C10" s="37"/>
      <c r="D10" s="38" t="str">
        <f aca="false">IF(C10="","",WORKDAY(C10,2))</f>
        <v/>
      </c>
      <c r="E10" s="37"/>
      <c r="F10" s="37"/>
      <c r="G10" s="39" t="str">
        <f aca="false">IF(OR(C10="",E10="",F10=""),"",IF(AND(E10&lt;=D10,F10&lt;=D10),"Yes","Late"))</f>
        <v/>
      </c>
      <c r="H10" s="36"/>
    </row>
    <row r="11" customFormat="false" ht="15" hidden="false" customHeight="true" outlineLevel="0" collapsed="false">
      <c r="A11" s="36"/>
      <c r="B11" s="36"/>
      <c r="C11" s="37"/>
      <c r="D11" s="38" t="str">
        <f aca="false">IF(C11="","",WORKDAY(C11,2))</f>
        <v/>
      </c>
      <c r="E11" s="37"/>
      <c r="F11" s="37"/>
      <c r="G11" s="39" t="str">
        <f aca="false">IF(OR(C11="",E11="",F11=""),"",IF(AND(E11&lt;=D11,F11&lt;=D11),"Yes","Late"))</f>
        <v/>
      </c>
      <c r="H11" s="36"/>
    </row>
    <row r="12" customFormat="false" ht="15" hidden="false" customHeight="true" outlineLevel="0" collapsed="false">
      <c r="A12" s="36"/>
      <c r="B12" s="36"/>
      <c r="C12" s="37"/>
      <c r="D12" s="38" t="str">
        <f aca="false">IF(C12="","",WORKDAY(C12,2))</f>
        <v/>
      </c>
      <c r="E12" s="37"/>
      <c r="F12" s="37"/>
      <c r="G12" s="39" t="str">
        <f aca="false">IF(OR(C12="",E12="",F12=""),"",IF(AND(E12&lt;=D12,F12&lt;=D12),"Yes","Late"))</f>
        <v/>
      </c>
      <c r="H12" s="36"/>
    </row>
    <row r="13" customFormat="false" ht="15" hidden="false" customHeight="true" outlineLevel="0" collapsed="false">
      <c r="A13" s="36"/>
      <c r="B13" s="36"/>
      <c r="C13" s="37"/>
      <c r="D13" s="38" t="str">
        <f aca="false">IF(C13="","",WORKDAY(C13,2))</f>
        <v/>
      </c>
      <c r="E13" s="37"/>
      <c r="F13" s="37"/>
      <c r="G13" s="39" t="str">
        <f aca="false">IF(OR(C13="",E13="",F13=""),"",IF(AND(E13&lt;=D13,F13&lt;=D13),"Yes","Late"))</f>
        <v/>
      </c>
      <c r="H13" s="36"/>
    </row>
    <row r="14" customFormat="false" ht="15" hidden="false" customHeight="true" outlineLevel="0" collapsed="false">
      <c r="A14" s="36"/>
      <c r="B14" s="36"/>
      <c r="C14" s="37"/>
      <c r="D14" s="38" t="str">
        <f aca="false">IF(C14="","",WORKDAY(C14,2))</f>
        <v/>
      </c>
      <c r="E14" s="37"/>
      <c r="F14" s="37"/>
      <c r="G14" s="39" t="str">
        <f aca="false">IF(OR(C14="",E14="",F14=""),"",IF(AND(E14&lt;=D14,F14&lt;=D14),"Yes","Late"))</f>
        <v/>
      </c>
      <c r="H14" s="36"/>
    </row>
    <row r="15" customFormat="false" ht="15" hidden="false" customHeight="true" outlineLevel="0" collapsed="false">
      <c r="A15" s="36"/>
      <c r="B15" s="36"/>
      <c r="C15" s="37"/>
      <c r="D15" s="38" t="str">
        <f aca="false">IF(C15="","",WORKDAY(C15,2))</f>
        <v/>
      </c>
      <c r="E15" s="37"/>
      <c r="F15" s="37"/>
      <c r="G15" s="39" t="str">
        <f aca="false">IF(OR(C15="",E15="",F15=""),"",IF(AND(E15&lt;=D15,F15&lt;=D15),"Yes","Late"))</f>
        <v/>
      </c>
      <c r="H15" s="36"/>
    </row>
    <row r="16" customFormat="false" ht="15" hidden="false" customHeight="true" outlineLevel="0" collapsed="false">
      <c r="A16" s="36"/>
      <c r="B16" s="36"/>
      <c r="C16" s="37"/>
      <c r="D16" s="38" t="str">
        <f aca="false">IF(C16="","",WORKDAY(C16,2))</f>
        <v/>
      </c>
      <c r="E16" s="37"/>
      <c r="F16" s="37"/>
      <c r="G16" s="39" t="str">
        <f aca="false">IF(OR(C16="",E16="",F16=""),"",IF(AND(E16&lt;=D16,F16&lt;=D16),"Yes","Late"))</f>
        <v/>
      </c>
      <c r="H16" s="36"/>
    </row>
    <row r="17" customFormat="false" ht="15" hidden="false" customHeight="true" outlineLevel="0" collapsed="false">
      <c r="A17" s="36"/>
      <c r="B17" s="36"/>
      <c r="C17" s="37"/>
      <c r="D17" s="38" t="str">
        <f aca="false">IF(C17="","",WORKDAY(C17,2))</f>
        <v/>
      </c>
      <c r="E17" s="37"/>
      <c r="F17" s="37"/>
      <c r="G17" s="39" t="str">
        <f aca="false">IF(OR(C17="",E17="",F17=""),"",IF(AND(E17&lt;=D17,F17&lt;=D17),"Yes","Late"))</f>
        <v/>
      </c>
      <c r="H17" s="36"/>
    </row>
    <row r="18" customFormat="false" ht="15" hidden="false" customHeight="true" outlineLevel="0" collapsed="false">
      <c r="A18" s="36"/>
      <c r="B18" s="36"/>
      <c r="C18" s="37"/>
      <c r="D18" s="38" t="str">
        <f aca="false">IF(C18="","",WORKDAY(C18,2))</f>
        <v/>
      </c>
      <c r="E18" s="37"/>
      <c r="F18" s="37"/>
      <c r="G18" s="39" t="str">
        <f aca="false">IF(OR(C18="",E18="",F18=""),"",IF(AND(E18&lt;=D18,F18&lt;=D18),"Yes","Late"))</f>
        <v/>
      </c>
      <c r="H18" s="36"/>
    </row>
    <row r="19" customFormat="false" ht="15" hidden="false" customHeight="true" outlineLevel="0" collapsed="false">
      <c r="A19" s="36"/>
      <c r="B19" s="36"/>
      <c r="C19" s="37"/>
      <c r="D19" s="38" t="str">
        <f aca="false">IF(C19="","",WORKDAY(C19,2))</f>
        <v/>
      </c>
      <c r="E19" s="37"/>
      <c r="F19" s="37"/>
      <c r="G19" s="39" t="str">
        <f aca="false">IF(OR(C19="",E19="",F19=""),"",IF(AND(E19&lt;=D19,F19&lt;=D19),"Yes","Late"))</f>
        <v/>
      </c>
      <c r="H19" s="36"/>
    </row>
    <row r="20" customFormat="false" ht="15" hidden="false" customHeight="true" outlineLevel="0" collapsed="false">
      <c r="A20" s="36"/>
      <c r="B20" s="36"/>
      <c r="C20" s="37"/>
      <c r="D20" s="38" t="str">
        <f aca="false">IF(C20="","",WORKDAY(C20,2))</f>
        <v/>
      </c>
      <c r="E20" s="37"/>
      <c r="F20" s="37"/>
      <c r="G20" s="39" t="str">
        <f aca="false">IF(OR(C20="",E20="",F20=""),"",IF(AND(E20&lt;=D20,F20&lt;=D20),"Yes","Late"))</f>
        <v/>
      </c>
      <c r="H20" s="36"/>
    </row>
    <row r="21" customFormat="false" ht="15" hidden="false" customHeight="true" outlineLevel="0" collapsed="false">
      <c r="A21" s="36"/>
      <c r="B21" s="36"/>
      <c r="C21" s="37"/>
      <c r="D21" s="38" t="str">
        <f aca="false">IF(C21="","",WORKDAY(C21,2))</f>
        <v/>
      </c>
      <c r="E21" s="37"/>
      <c r="F21" s="37"/>
      <c r="G21" s="39" t="str">
        <f aca="false">IF(OR(C21="",E21="",F21=""),"",IF(AND(E21&lt;=D21,F21&lt;=D21),"Yes","Late"))</f>
        <v/>
      </c>
      <c r="H21" s="36"/>
    </row>
    <row r="22" customFormat="false" ht="15" hidden="false" customHeight="true" outlineLevel="0" collapsed="false">
      <c r="A22" s="36"/>
      <c r="B22" s="36"/>
      <c r="C22" s="37"/>
      <c r="D22" s="38" t="str">
        <f aca="false">IF(C22="","",WORKDAY(C22,2))</f>
        <v/>
      </c>
      <c r="E22" s="37"/>
      <c r="F22" s="37"/>
      <c r="G22" s="39" t="str">
        <f aca="false">IF(OR(C22="",E22="",F22=""),"",IF(AND(E22&lt;=D22,F22&lt;=D22),"Yes","Late"))</f>
        <v/>
      </c>
      <c r="H22" s="36"/>
    </row>
    <row r="23" customFormat="false" ht="15" hidden="false" customHeight="true" outlineLevel="0" collapsed="false">
      <c r="A23" s="36"/>
      <c r="B23" s="36"/>
      <c r="C23" s="37"/>
      <c r="D23" s="38" t="str">
        <f aca="false">IF(C23="","",WORKDAY(C23,2))</f>
        <v/>
      </c>
      <c r="E23" s="37"/>
      <c r="F23" s="37"/>
      <c r="G23" s="39" t="str">
        <f aca="false">IF(OR(C23="",E23="",F23=""),"",IF(AND(E23&lt;=D23,F23&lt;=D23),"Yes","Late"))</f>
        <v/>
      </c>
      <c r="H23" s="36"/>
    </row>
    <row r="24" customFormat="false" ht="15" hidden="false" customHeight="true" outlineLevel="0" collapsed="false">
      <c r="A24" s="36"/>
      <c r="B24" s="36"/>
      <c r="C24" s="37"/>
      <c r="D24" s="38" t="str">
        <f aca="false">IF(C24="","",WORKDAY(C24,2))</f>
        <v/>
      </c>
      <c r="E24" s="37"/>
      <c r="F24" s="37"/>
      <c r="G24" s="39" t="str">
        <f aca="false">IF(OR(C24="",E24="",F24=""),"",IF(AND(E24&lt;=D24,F24&lt;=D24),"Yes","Late"))</f>
        <v/>
      </c>
      <c r="H24" s="36"/>
    </row>
    <row r="25" customFormat="false" ht="15" hidden="false" customHeight="true" outlineLevel="0" collapsed="false">
      <c r="A25" s="36"/>
      <c r="B25" s="36"/>
      <c r="C25" s="37"/>
      <c r="D25" s="38" t="str">
        <f aca="false">IF(C25="","",WORKDAY(C25,2))</f>
        <v/>
      </c>
      <c r="E25" s="37"/>
      <c r="F25" s="37"/>
      <c r="G25" s="39" t="str">
        <f aca="false">IF(OR(C25="",E25="",F25=""),"",IF(AND(E25&lt;=D25,F25&lt;=D25),"Yes","Late"))</f>
        <v/>
      </c>
      <c r="H25" s="36"/>
    </row>
    <row r="26" customFormat="false" ht="15" hidden="false" customHeight="true" outlineLevel="0" collapsed="false">
      <c r="A26" s="36"/>
      <c r="B26" s="36"/>
      <c r="C26" s="37"/>
      <c r="D26" s="38" t="str">
        <f aca="false">IF(C26="","",WORKDAY(C26,2))</f>
        <v/>
      </c>
      <c r="E26" s="37"/>
      <c r="F26" s="37"/>
      <c r="G26" s="39" t="str">
        <f aca="false">IF(OR(C26="",E26="",F26=""),"",IF(AND(E26&lt;=D26,F26&lt;=D26),"Yes","Late"))</f>
        <v/>
      </c>
      <c r="H26" s="36"/>
    </row>
    <row r="27" customFormat="false" ht="15" hidden="false" customHeight="true" outlineLevel="0" collapsed="false">
      <c r="A27" s="36"/>
      <c r="B27" s="36"/>
      <c r="C27" s="37"/>
      <c r="D27" s="38" t="str">
        <f aca="false">IF(C27="","",WORKDAY(C27,2))</f>
        <v/>
      </c>
      <c r="E27" s="37"/>
      <c r="F27" s="37"/>
      <c r="G27" s="39" t="str">
        <f aca="false">IF(OR(C27="",E27="",F27=""),"",IF(AND(E27&lt;=D27,F27&lt;=D27),"Yes","Late"))</f>
        <v/>
      </c>
      <c r="H27" s="36"/>
    </row>
    <row r="28" customFormat="false" ht="15" hidden="false" customHeight="true" outlineLevel="0" collapsed="false">
      <c r="A28" s="36"/>
      <c r="B28" s="36"/>
      <c r="C28" s="37"/>
      <c r="D28" s="38" t="str">
        <f aca="false">IF(C28="","",WORKDAY(C28,2))</f>
        <v/>
      </c>
      <c r="E28" s="37"/>
      <c r="F28" s="37"/>
      <c r="G28" s="39" t="str">
        <f aca="false">IF(OR(C28="",E28="",F28=""),"",IF(AND(E28&lt;=D28,F28&lt;=D28),"Yes","Late"))</f>
        <v/>
      </c>
      <c r="H28" s="36"/>
    </row>
    <row r="29" customFormat="false" ht="15" hidden="false" customHeight="true" outlineLevel="0" collapsed="false">
      <c r="A29" s="36"/>
      <c r="B29" s="36"/>
      <c r="C29" s="37"/>
      <c r="D29" s="38" t="str">
        <f aca="false">IF(C29="","",WORKDAY(C29,2))</f>
        <v/>
      </c>
      <c r="E29" s="37"/>
      <c r="F29" s="37"/>
      <c r="G29" s="39" t="str">
        <f aca="false">IF(OR(C29="",E29="",F29=""),"",IF(AND(E29&lt;=D29,F29&lt;=D29),"Yes","Late"))</f>
        <v/>
      </c>
      <c r="H29" s="36"/>
    </row>
    <row r="30" customFormat="false" ht="15" hidden="false" customHeight="true" outlineLevel="0" collapsed="false">
      <c r="A30" s="36"/>
      <c r="B30" s="36"/>
      <c r="C30" s="37"/>
      <c r="D30" s="38" t="str">
        <f aca="false">IF(C30="","",WORKDAY(C30,2))</f>
        <v/>
      </c>
      <c r="E30" s="37"/>
      <c r="F30" s="37"/>
      <c r="G30" s="39" t="str">
        <f aca="false">IF(OR(C30="",E30="",F30=""),"",IF(AND(E30&lt;=D30,F30&lt;=D30),"Yes","Late"))</f>
        <v/>
      </c>
      <c r="H30" s="36"/>
    </row>
    <row r="31" customFormat="false" ht="15" hidden="false" customHeight="true" outlineLevel="0" collapsed="false">
      <c r="A31" s="36"/>
      <c r="B31" s="36"/>
      <c r="C31" s="37"/>
      <c r="D31" s="38" t="str">
        <f aca="false">IF(C31="","",WORKDAY(C31,2))</f>
        <v/>
      </c>
      <c r="E31" s="37"/>
      <c r="F31" s="37"/>
      <c r="G31" s="39" t="str">
        <f aca="false">IF(OR(C31="",E31="",F31=""),"",IF(AND(E31&lt;=D31,F31&lt;=D31),"Yes","Late"))</f>
        <v/>
      </c>
      <c r="H31" s="36"/>
    </row>
    <row r="32" customFormat="false" ht="15" hidden="false" customHeight="true" outlineLevel="0" collapsed="false">
      <c r="A32" s="36"/>
      <c r="B32" s="36"/>
      <c r="C32" s="37"/>
      <c r="D32" s="38" t="str">
        <f aca="false">IF(C32="","",WORKDAY(C32,2))</f>
        <v/>
      </c>
      <c r="E32" s="37"/>
      <c r="F32" s="37"/>
      <c r="G32" s="39" t="str">
        <f aca="false">IF(OR(C32="",E32="",F32=""),"",IF(AND(E32&lt;=D32,F32&lt;=D32),"Yes","Late"))</f>
        <v/>
      </c>
      <c r="H32" s="36"/>
    </row>
    <row r="33" customFormat="false" ht="15" hidden="false" customHeight="true" outlineLevel="0" collapsed="false">
      <c r="A33" s="36"/>
      <c r="B33" s="36"/>
      <c r="C33" s="37"/>
      <c r="D33" s="38" t="str">
        <f aca="false">IF(C33="","",WORKDAY(C33,2))</f>
        <v/>
      </c>
      <c r="E33" s="37"/>
      <c r="F33" s="37"/>
      <c r="G33" s="39" t="str">
        <f aca="false">IF(OR(C33="",E33="",F33=""),"",IF(AND(E33&lt;=D33,F33&lt;=D33),"Yes","Late"))</f>
        <v/>
      </c>
      <c r="H33" s="36"/>
    </row>
    <row r="34" customFormat="false" ht="15" hidden="false" customHeight="true" outlineLevel="0" collapsed="false">
      <c r="A34" s="36"/>
      <c r="B34" s="36"/>
      <c r="C34" s="37"/>
      <c r="D34" s="38" t="str">
        <f aca="false">IF(C34="","",WORKDAY(C34,2))</f>
        <v/>
      </c>
      <c r="E34" s="37"/>
      <c r="F34" s="37"/>
      <c r="G34" s="39" t="str">
        <f aca="false">IF(OR(C34="",E34="",F34=""),"",IF(AND(E34&lt;=D34,F34&lt;=D34),"Yes","Late"))</f>
        <v/>
      </c>
      <c r="H34" s="36"/>
    </row>
    <row r="35" customFormat="false" ht="15" hidden="false" customHeight="true" outlineLevel="0" collapsed="false">
      <c r="A35" s="36"/>
      <c r="B35" s="36"/>
      <c r="C35" s="37"/>
      <c r="D35" s="38" t="str">
        <f aca="false">IF(C35="","",WORKDAY(C35,2))</f>
        <v/>
      </c>
      <c r="E35" s="37"/>
      <c r="F35" s="37"/>
      <c r="G35" s="39" t="str">
        <f aca="false">IF(OR(C35="",E35="",F35=""),"",IF(AND(E35&lt;=D35,F35&lt;=D35),"Yes","Late"))</f>
        <v/>
      </c>
      <c r="H35" s="36"/>
    </row>
  </sheetData>
  <mergeCells count="2">
    <mergeCell ref="A2:H2"/>
    <mergeCell ref="A3:H3"/>
  </mergeCells>
  <conditionalFormatting sqref="G6:G35">
    <cfRule type="cellIs" priority="2" operator="equal" aboveAverage="0" equalAverage="0" bottom="0" percent="0" rank="0" text="" dxfId="2">
      <formula>"Late"</formula>
    </cfRule>
    <cfRule type="cellIs" priority="3" operator="equal" aboveAverage="0" equalAverage="0" bottom="0" percent="0" rank="0" text="" dxfId="0">
      <formula>"Yes"</formula>
    </cfRule>
  </conditionalFormatting>
  <dataValidations count="1">
    <dataValidation allowBlank="true" errorStyle="stop" operator="between" showDropDown="false" showErrorMessage="false" showInputMessage="false" sqref="B6:B35" type="list">
      <formula1>"Abandonment,Termination for cause,Transfer to new employer,Contract ended early,Other"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2026-10-14T13:49:41Z</dcterms:created>
  <dc:creator>openpyxl</dc:creator>
  <dc:description/>
  <dc:language>en-US</dc:language>
  <cp:lastModifiedBy/>
  <dcterms:modified xsi:type="dcterms:W3CDTF">2026-10-26T19:40:09Z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